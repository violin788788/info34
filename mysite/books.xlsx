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5"/>
    <sheet state="visible" name="backup-current" sheetId="2" r:id="rId6"/>
    <sheet state="visible" name="readcompleted" sheetId="3" r:id="rId7"/>
  </sheets>
  <definedNames/>
  <calcPr/>
</workbook>
</file>

<file path=xl/sharedStrings.xml><?xml version="1.0" encoding="utf-8"?>
<sst xmlns="http://schemas.openxmlformats.org/spreadsheetml/2006/main" count="403" uniqueCount="135">
  <si>
    <t xml:space="preserve"> </t>
  </si>
  <si>
    <t>words</t>
  </si>
  <si>
    <t xml:space="preserve">thousands of </t>
  </si>
  <si>
    <t>words read</t>
  </si>
  <si>
    <t>year</t>
  </si>
  <si>
    <t>heard</t>
  </si>
  <si>
    <t>read</t>
  </si>
  <si>
    <t>per</t>
  </si>
  <si>
    <t>minute</t>
  </si>
  <si>
    <t>book</t>
  </si>
  <si>
    <t>author</t>
  </si>
  <si>
    <t>wrote</t>
  </si>
  <si>
    <t>words?</t>
  </si>
  <si>
    <t>url</t>
  </si>
  <si>
    <t>pan europe</t>
  </si>
  <si>
    <t>kalergi</t>
  </si>
  <si>
    <t>https://play.google.com/books</t>
  </si>
  <si>
    <t>?</t>
  </si>
  <si>
    <t>socialism and war</t>
  </si>
  <si>
    <t>lenin</t>
  </si>
  <si>
    <r>
      <rPr>
        <rFont val="'Google Sans Text'"/>
        <color rgb="FF1155CC"/>
        <sz val="11.0"/>
        <u/>
      </rPr>
      <t>https://www.bannedthought.net/USSR/Lenin/Lenin-SocialismAndWar-Moscow-1967-OCR-sm.pdf</t>
    </r>
  </si>
  <si>
    <t>Anarchy</t>
  </si>
  <si>
    <t>Errico Malatesta</t>
  </si>
  <si>
    <r>
      <rPr>
        <rFont val="'Google Sans Text'"/>
        <color rgb="FF1155CC"/>
        <sz val="11.0"/>
        <u/>
      </rPr>
      <t>https://theanarchistlibrary.org/library/errico-malatesta-anarchy</t>
    </r>
  </si>
  <si>
    <t>total</t>
  </si>
  <si>
    <t>communist manifesto</t>
  </si>
  <si>
    <t>marx</t>
  </si>
  <si>
    <r>
      <rPr>
        <rFont val="'Google Sans Text'"/>
        <color rgb="FF1155CC"/>
        <sz val="11.0"/>
        <u/>
      </rPr>
      <t>https://www.marxists.org/archive/marx/works/download/pdf/Manifesto.pdf</t>
    </r>
  </si>
  <si>
    <t>epub</t>
  </si>
  <si>
    <t>audio</t>
  </si>
  <si>
    <t>or</t>
  </si>
  <si>
    <t>cheka</t>
  </si>
  <si>
    <t>leggett</t>
  </si>
  <si>
    <t>https://archive.org/details/chekaleninspolit0000legg</t>
  </si>
  <si>
    <t>pages</t>
  </si>
  <si>
    <t>%</t>
  </si>
  <si>
    <t>hours</t>
  </si>
  <si>
    <t>pdf</t>
  </si>
  <si>
    <t>rothschilds</t>
  </si>
  <si>
    <t>reeves</t>
  </si>
  <si>
    <t>https://archive.org/details/rothschildsfinan00reevuoft</t>
  </si>
  <si>
    <t>title</t>
  </si>
  <si>
    <t>what is property</t>
  </si>
  <si>
    <t>proudhon</t>
  </si>
  <si>
    <t>part</t>
  </si>
  <si>
    <t>https://www.gutenberg.org/ebooks/360</t>
  </si>
  <si>
    <t>page</t>
  </si>
  <si>
    <t>min</t>
  </si>
  <si>
    <t>text</t>
  </si>
  <si>
    <t>left</t>
  </si>
  <si>
    <t>done</t>
  </si>
  <si>
    <t>(k)</t>
  </si>
  <si>
    <t>current</t>
  </si>
  <si>
    <t>volodarsky</t>
  </si>
  <si>
    <t>french_revolution</t>
  </si>
  <si>
    <t>tocqueville</t>
  </si>
  <si>
    <t>https://drive.google.com/drive/folders/1W0OhNc8FjvRYyGvB9wAoaFcDZUrbP6lm</t>
  </si>
  <si>
    <t>https://play.google.com/books/reader?id=n8H5PAAAAEAJ&amp;pg=GBS.PA177.w.0.0.0.1_303</t>
  </si>
  <si>
    <t>corporate_finance</t>
  </si>
  <si>
    <t>https://archive.org/details/oldregimeandrev00tocqgoog</t>
  </si>
  <si>
    <t>ten days</t>
  </si>
  <si>
    <t>john reed</t>
  </si>
  <si>
    <t>https://drive.google.com/drive/folders/1eor9aep92u2y21HbrpqAQtUVQkBe4554</t>
  </si>
  <si>
    <t>https://play.google.com/books/reader?id=vfHJPAAAAEAJ&amp;pg=GBS.PA11</t>
  </si>
  <si>
    <t>https://www.gutenberg.org/ebooks/3076</t>
  </si>
  <si>
    <t>too_big_to_fail</t>
  </si>
  <si>
    <t>sorkin</t>
  </si>
  <si>
    <t>jp_morgan</t>
  </si>
  <si>
    <t>martin</t>
  </si>
  <si>
    <t>https://drive.google.com/drive/folders/1ScccByby141iAAgGYvl4E-BH_tHjWSqj</t>
  </si>
  <si>
    <t>https://play.google.com/books/reader?id=gPwSPQAAAEAJ&amp;pg=GBS.PA</t>
  </si>
  <si>
    <t>https://dokumen.pub/jp-morgan-amp-co-and-the-crisis-of-capitalism-from-the-wall-street-crash-to-world-war-ii-9781108653602-9781108498371.html</t>
  </si>
  <si>
    <t>common sense</t>
  </si>
  <si>
    <t>paine</t>
  </si>
  <si>
    <t>https://drive.google.com/drive/folders/1Wn3XK-y0DRAN8cxTPD026ckBfTfdXTJP</t>
  </si>
  <si>
    <t>https://play.google.com/books/reader?id=ftUEPQAAAEAJ</t>
  </si>
  <si>
    <t>https://www.gutenberg.org/ebooks/147</t>
  </si>
  <si>
    <t>finance</t>
  </si>
  <si>
    <t>libby</t>
  </si>
  <si>
    <t>idk..?</t>
  </si>
  <si>
    <t>https://dl.icdst.org/pdfs/files3/4e8ad0e1692a3ead1bf12e88465da1a9.pdf</t>
  </si>
  <si>
    <t>grant</t>
  </si>
  <si>
    <t>https://drive.google.com/drive/folders/1gWwbUPc4oguCXUCt56jsioiLF9vAtrRO</t>
  </si>
  <si>
    <t>https://play.google.com/books/reader?id=NYD3PAAAAEAJ&amp;pg=GBS.PA160.w.0.0.0.4_17</t>
  </si>
  <si>
    <t>bolshevism</t>
  </si>
  <si>
    <t>state and revolution</t>
  </si>
  <si>
    <t xml:space="preserve">lenin </t>
  </si>
  <si>
    <t>https://play.google.com/books/reader?id=47PGPAAAAEAJ&amp;pg=GBS.PA36_310</t>
  </si>
  <si>
    <r>
      <rPr>
        <color rgb="FF1155CC"/>
        <sz val="10.0"/>
        <u/>
      </rPr>
      <t>https://play.google.com/books/reader?id=MSGzPAAAAEAJ&amp;pg=GBS.PA8</t>
    </r>
  </si>
  <si>
    <t>imperialism</t>
  </si>
  <si>
    <t>https://play.google.com/books/reader?id=W-nGPAAAAEAJ</t>
  </si>
  <si>
    <r>
      <rPr>
        <color rgb="FF1155CC"/>
        <sz val="10.0"/>
        <u/>
      </rPr>
      <t>https://play.google.com/books/reader?id=MyGzPAAAAEAJ&amp;pg=GBS.PA26</t>
    </r>
  </si>
  <si>
    <t>imperialists</t>
  </si>
  <si>
    <t>ochrana</t>
  </si>
  <si>
    <t>https://dn720006.ca.archive.org/0/items/ochranarussianse0000atva/ochranarussianse0000atva.pdf</t>
  </si>
  <si>
    <r>
      <rPr>
        <color rgb="FF1155CC"/>
        <sz val="10.0"/>
        <u/>
      </rPr>
      <t>https://play.google.com/books/reader?id=MSGzPAAAAEAJ&amp;pg=GBS.PA8</t>
    </r>
  </si>
  <si>
    <t>medici money</t>
  </si>
  <si>
    <t>https://play.google.com/books/reader?id=4LXGPAAAAEAJ&amp;pg=GBS.PA37_71</t>
  </si>
  <si>
    <r>
      <rPr>
        <color rgb="FF1155CC"/>
        <sz val="10.0"/>
        <u/>
      </rPr>
      <t>https://play.google.com/books/reader?id=MyGzPAAAAEAJ&amp;pg=GBS.PA26</t>
    </r>
  </si>
  <si>
    <t>practical idealism</t>
  </si>
  <si>
    <t>https://play.google.com/books/reader?id=8u7GPAAAAEAJ&amp;pg=GBS.PA38</t>
  </si>
  <si>
    <r>
      <rPr>
        <color rgb="FF1155CC"/>
        <sz val="10.0"/>
        <u/>
      </rPr>
      <t>https://play.google.com/books/reader?id=sPCuPAAAAEAJ&amp;pg=GBS.PA33</t>
    </r>
  </si>
  <si>
    <t>ww2</t>
  </si>
  <si>
    <t>waffen</t>
  </si>
  <si>
    <t>https://play.google.com/books/reader?id=VfvGPAAAAEAJ&amp;pg=GBS.PA51</t>
  </si>
  <si>
    <t>https://drive.google.com/drive/</t>
  </si>
  <si>
    <r>
      <rPr>
        <color rgb="FF1155CC"/>
        <sz val="10.0"/>
        <u/>
      </rPr>
      <t>https://play.google.com/books/reader?id=sPCuPAAAAEAJ&amp;pg=GBS.PA33</t>
    </r>
  </si>
  <si>
    <t>mein kampf</t>
  </si>
  <si>
    <t>hitler</t>
  </si>
  <si>
    <t>https://app.luminpdf.com/viewer/6a43d12bb73797f7f04926e2?credentials-id=cdb9ff29-060e-4ef3-a802-62338912642d&amp;can-join-workspace=false&amp;from=drive</t>
  </si>
  <si>
    <t>corp law</t>
  </si>
  <si>
    <t>https://play.google.com/books/reader?id=cADbPAAAAEAJ&amp;pg=GBS.PA6</t>
  </si>
  <si>
    <t>how the other half</t>
  </si>
  <si>
    <t>riis</t>
  </si>
  <si>
    <r>
      <rPr>
        <color rgb="FF1155CC"/>
        <sz val="10.0"/>
        <u/>
      </rPr>
      <t>https://blogs.ubc.ca/fafa/files/2020/01/Riis_How-the-Other-Half-Lives.pdf</t>
    </r>
  </si>
  <si>
    <t>swiss republic</t>
  </si>
  <si>
    <r>
      <rPr>
        <color rgb="FF1155CC"/>
        <sz val="10.0"/>
        <u/>
      </rPr>
      <t>https://books.google.com/books/about/The_Swiss_Republic.html?id=j51UjqqwfhgC</t>
    </r>
  </si>
  <si>
    <t>rep migration</t>
  </si>
  <si>
    <r>
      <rPr>
        <color rgb="FF1155CC"/>
        <sz val="10.0"/>
        <u/>
      </rPr>
      <t>https://digitallibrary.un.org/record/412547?ln=en&amp;v=pdf</t>
    </r>
  </si>
  <si>
    <t>wtf is anarchism?</t>
  </si>
  <si>
    <t>conquest of bread</t>
  </si>
  <si>
    <t>Kropotkin</t>
  </si>
  <si>
    <r>
      <rPr>
        <color rgb="FF1155CC"/>
        <sz val="10.0"/>
        <u/>
      </rPr>
      <t>https://blogs.ubc.ca/fafa/files/2020/01/Riis_How-the-Other-Half-Lives.pdf</t>
    </r>
  </si>
  <si>
    <t>gutenberg</t>
  </si>
  <si>
    <t>mutual aid</t>
  </si>
  <si>
    <r>
      <rPr>
        <color rgb="FF1155CC"/>
        <sz val="10.0"/>
        <u/>
      </rPr>
      <t>https://books.google.com/books/about/The_Swiss_Republic.html?id=j51UjqqwfhgC</t>
    </r>
  </si>
  <si>
    <t>god and state</t>
  </si>
  <si>
    <t>Bakunin</t>
  </si>
  <si>
    <r>
      <rPr>
        <color rgb="FF1155CC"/>
        <sz val="10.0"/>
        <u/>
      </rPr>
      <t>https://digitallibrary.un.org/record/412547?ln=en&amp;v=pdf</t>
    </r>
  </si>
  <si>
    <t>too look at/find?</t>
  </si>
  <si>
    <t>jews+bolsheviks</t>
  </si>
  <si>
    <t>Epub three capitals trip to red russia shulgin</t>
  </si>
  <si>
    <t>Epub Medicare for all bill</t>
  </si>
  <si>
    <t>Epub beyer pr voting Bill</t>
  </si>
  <si>
    <t>The Secret Dossier: My memoirs of Russia’s political underworld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</si>
</sst>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sz val="10.0"/>
      <color theme="1"/>
      <name val="Arial"/>
      <scheme val="minor"/>
    </font>
    <font>
      <color theme="1"/>
      <name val="Arial"/>
      <scheme val="minor"/>
    </font>
    <font>
      <b/>
      <sz val="10.0"/>
      <color theme="1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u/>
      <sz val="10.0"/>
      <color rgb="FF0000FF"/>
    </font>
    <font>
      <u/>
      <sz val="11.0"/>
      <color rgb="FF000000"/>
      <name val="'Google Sans Text'"/>
    </font>
    <font>
      <sz val="11.0"/>
      <color theme="1"/>
      <name val="&quot;Google Sans&quot;"/>
    </font>
    <font>
      <b/>
      <sz val="10.0"/>
      <color rgb="FF000000"/>
      <name val="Arial"/>
      <scheme val="minor"/>
    </font>
    <font>
      <u/>
      <color rgb="FF0000FF"/>
    </font>
    <font>
      <b/>
      <sz val="11.0"/>
      <color rgb="FF000000"/>
      <name val="'Google Sans Text'"/>
    </font>
    <font>
      <sz val="11.0"/>
      <color rgb="FF000000"/>
      <name val="'Google Sans Text'"/>
    </font>
    <font>
      <sz val="11.0"/>
      <color theme="1"/>
      <name val="Arial"/>
    </font>
    <font>
      <sz val="11.0"/>
      <color rgb="FF1F1F1F"/>
      <name val="'Google Sans Text'"/>
    </font>
    <font>
      <u/>
      <color rgb="FF0000FF"/>
    </font>
    <font>
      <u/>
      <sz val="10.0"/>
      <color rgb="FF0000FF"/>
    </font>
    <font>
      <color theme="1"/>
      <name val="Arial"/>
    </font>
    <font>
      <u/>
      <color rgb="FF1155CC"/>
      <name val="Arial"/>
    </font>
    <font>
      <sz val="10.0"/>
      <color rgb="FF1F1F1F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0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" xfId="0" applyFont="1" applyNumberFormat="1"/>
    <xf borderId="0" fillId="0" fontId="1" numFmtId="9" xfId="0" applyFont="1" applyNumberFormat="1"/>
    <xf borderId="0" fillId="0" fontId="2" numFmtId="0" xfId="0" applyAlignment="1" applyFont="1">
      <alignment readingOrder="0"/>
    </xf>
    <xf borderId="0" fillId="0" fontId="3" numFmtId="4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1" numFmtId="10" xfId="0" applyFont="1" applyNumberFormat="1"/>
    <xf borderId="0" fillId="0" fontId="5" numFmtId="4" xfId="0" applyAlignment="1" applyFont="1" applyNumberFormat="1">
      <alignment vertical="bottom"/>
    </xf>
    <xf borderId="0" fillId="0" fontId="2" numFmtId="3" xfId="0" applyFont="1" applyNumberFormat="1"/>
    <xf borderId="0" fillId="0" fontId="1" numFmtId="0" xfId="0" applyAlignment="1" applyFont="1">
      <alignment readingOrder="0"/>
    </xf>
    <xf borderId="0" fillId="0" fontId="4" numFmtId="0" xfId="0" applyFont="1"/>
    <xf borderId="0" fillId="0" fontId="1" numFmtId="3" xfId="0" applyAlignment="1" applyFont="1" applyNumberFormat="1">
      <alignment readingOrder="0"/>
    </xf>
    <xf borderId="0" fillId="0" fontId="2" numFmtId="3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1" numFmtId="1" xfId="0" applyAlignment="1" applyFont="1" applyNumberFormat="1">
      <alignment readingOrder="0"/>
    </xf>
    <xf borderId="0" fillId="0" fontId="1" numFmtId="9" xfId="0" applyAlignment="1" applyFont="1" applyNumberFormat="1">
      <alignment readingOrder="0"/>
    </xf>
    <xf borderId="0" fillId="0" fontId="1" numFmtId="4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3" numFmtId="1" xfId="0" applyAlignment="1" applyFont="1" applyNumberFormat="1">
      <alignment readingOrder="0"/>
    </xf>
    <xf borderId="0" fillId="0" fontId="3" numFmtId="0" xfId="0" applyFont="1"/>
    <xf borderId="0" fillId="0" fontId="5" numFmtId="1" xfId="0" applyAlignment="1" applyFont="1" applyNumberFormat="1">
      <alignment readingOrder="0" vertical="bottom"/>
    </xf>
    <xf borderId="0" fillId="0" fontId="3" numFmtId="9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10" numFmtId="0" xfId="0" applyAlignment="1" applyFont="1">
      <alignment readingOrder="0"/>
    </xf>
    <xf borderId="0" fillId="0" fontId="5" numFmtId="1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2" numFmtId="1" xfId="0" applyAlignment="1" applyFont="1" applyNumberFormat="1">
      <alignment readingOrder="0"/>
    </xf>
    <xf borderId="0" fillId="0" fontId="11" numFmtId="0" xfId="0" applyAlignment="1" applyFont="1">
      <alignment readingOrder="0"/>
    </xf>
    <xf borderId="0" fillId="0" fontId="11" numFmtId="9" xfId="0" applyAlignment="1" applyFont="1" applyNumberFormat="1">
      <alignment readingOrder="0"/>
    </xf>
    <xf borderId="0" fillId="0" fontId="12" numFmtId="0" xfId="0" applyAlignment="1" applyFont="1">
      <alignment readingOrder="0"/>
    </xf>
    <xf borderId="0" fillId="0" fontId="12" numFmtId="9" xfId="0" applyAlignment="1" applyFont="1" applyNumberFormat="1">
      <alignment readingOrder="0"/>
    </xf>
    <xf borderId="0" fillId="0" fontId="13" numFmtId="0" xfId="0" applyAlignment="1" applyFont="1">
      <alignment readingOrder="0"/>
    </xf>
    <xf borderId="0" fillId="0" fontId="14" numFmtId="0" xfId="0" applyAlignment="1" applyFont="1">
      <alignment readingOrder="0"/>
    </xf>
    <xf borderId="0" fillId="0" fontId="14" numFmtId="9" xfId="0" applyAlignment="1" applyFont="1" applyNumberFormat="1">
      <alignment readingOrder="0"/>
    </xf>
    <xf borderId="0" fillId="0" fontId="2" numFmtId="9" xfId="0" applyFont="1" applyNumberFormat="1"/>
    <xf borderId="0" fillId="0" fontId="15" numFmtId="0" xfId="0" applyAlignment="1" applyFont="1">
      <alignment readingOrder="0"/>
    </xf>
    <xf borderId="0" fillId="0" fontId="16" numFmtId="1" xfId="0" applyAlignment="1" applyFont="1" applyNumberFormat="1">
      <alignment readingOrder="0"/>
    </xf>
    <xf borderId="0" fillId="0" fontId="0" numFmtId="0" xfId="0" applyAlignment="1" applyFont="1">
      <alignment readingOrder="0"/>
    </xf>
    <xf borderId="0" fillId="0" fontId="0" numFmtId="0" xfId="0" applyFont="1"/>
    <xf borderId="0" fillId="0" fontId="17" numFmtId="0" xfId="0" applyAlignment="1" applyFont="1">
      <alignment vertical="bottom"/>
    </xf>
    <xf borderId="0" fillId="0" fontId="17" numFmtId="0" xfId="0" applyAlignment="1" applyFont="1">
      <alignment vertical="bottom"/>
    </xf>
    <xf borderId="0" fillId="0" fontId="17" numFmtId="1" xfId="0" applyAlignment="1" applyFont="1" applyNumberFormat="1">
      <alignment horizontal="right" vertical="bottom"/>
    </xf>
    <xf borderId="0" fillId="0" fontId="17" numFmtId="1" xfId="0" applyAlignment="1" applyFont="1" applyNumberFormat="1">
      <alignment vertical="bottom"/>
    </xf>
    <xf borderId="0" fillId="0" fontId="17" numFmtId="4" xfId="0" applyAlignment="1" applyFont="1" applyNumberFormat="1">
      <alignment vertical="bottom"/>
    </xf>
    <xf borderId="0" fillId="0" fontId="17" numFmtId="0" xfId="0" applyAlignment="1" applyFont="1">
      <alignment readingOrder="0" vertical="bottom"/>
    </xf>
    <xf borderId="0" fillId="0" fontId="18" numFmtId="0" xfId="0" applyAlignment="1" applyFont="1">
      <alignment vertical="bottom"/>
    </xf>
    <xf borderId="0" fillId="0" fontId="0" numFmtId="1" xfId="0" applyFont="1" applyNumberFormat="1"/>
    <xf borderId="0" fillId="0" fontId="0" numFmtId="1" xfId="0" applyAlignment="1" applyFont="1" applyNumberFormat="1">
      <alignment readingOrder="0"/>
    </xf>
    <xf borderId="0" fillId="0" fontId="19" numFmtId="0" xfId="0" applyAlignment="1" applyFont="1">
      <alignment readingOrder="0"/>
    </xf>
    <xf borderId="0" fillId="0" fontId="0" numFmtId="9" xfId="0" applyAlignment="1" applyFont="1" applyNumberFormat="1">
      <alignment readingOrder="0"/>
    </xf>
    <xf borderId="0" fillId="0" fontId="0" numFmtId="4" xfId="0" applyAlignment="1" applyFont="1" applyNumberFormat="1">
      <alignment readingOrder="0"/>
    </xf>
    <xf borderId="0" fillId="0" fontId="1" numFmtId="4" xfId="0" applyFont="1" applyNumberFormat="1"/>
    <xf borderId="0" fillId="0" fontId="9" numFmtId="1" xfId="0" applyAlignment="1" applyFont="1" applyNumberFormat="1">
      <alignment readingOrder="0"/>
    </xf>
    <xf borderId="0" fillId="0" fontId="9" numFmtId="9" xfId="0" applyAlignment="1" applyFont="1" applyNumberFormat="1">
      <alignment readingOrder="0"/>
    </xf>
    <xf borderId="0" fillId="0" fontId="9" numFmtId="4" xfId="0" applyAlignment="1" applyFont="1" applyNumberFormat="1">
      <alignment readingOrder="0"/>
    </xf>
    <xf borderId="0" fillId="0" fontId="19" numFmtId="1" xfId="0" applyAlignment="1" applyFont="1" applyNumberFormat="1">
      <alignment readingOrder="0"/>
    </xf>
    <xf borderId="0" fillId="0" fontId="19" numFmtId="9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hyperlink" Target="https://play.google.com/books/reader?id=W-nGPAAAAEAJ" TargetMode="External"/><Relationship Id="rId22" Type="http://schemas.openxmlformats.org/officeDocument/2006/relationships/hyperlink" Target="https://dn720006.ca.archive.org/0/items/ochranarussianse0000atva/ochranarussianse0000atva.pdf" TargetMode="External"/><Relationship Id="rId21" Type="http://schemas.openxmlformats.org/officeDocument/2006/relationships/hyperlink" Target="https://play.google.com/books/reader?id=MyGzPAAAAEAJ&amp;pg=GBS.PA26" TargetMode="External"/><Relationship Id="rId24" Type="http://schemas.openxmlformats.org/officeDocument/2006/relationships/hyperlink" Target="https://play.google.com/books/reader?id=8u7GPAAAAEAJ&amp;pg=GBS.PA38" TargetMode="External"/><Relationship Id="rId23" Type="http://schemas.openxmlformats.org/officeDocument/2006/relationships/hyperlink" Target="https://play.google.com/books/reader?id=4LXGPAAAAEAJ&amp;pg=GBS.PA37_71" TargetMode="External"/><Relationship Id="rId1" Type="http://schemas.openxmlformats.org/officeDocument/2006/relationships/hyperlink" Target="https://play.google.com/books" TargetMode="External"/><Relationship Id="rId2" Type="http://schemas.openxmlformats.org/officeDocument/2006/relationships/hyperlink" Target="https://play.google.com/books" TargetMode="External"/><Relationship Id="rId3" Type="http://schemas.openxmlformats.org/officeDocument/2006/relationships/hyperlink" Target="https://drive.google.com/drive/folders/1W0OhNc8FjvRYyGvB9wAoaFcDZUrbP6lm" TargetMode="External"/><Relationship Id="rId4" Type="http://schemas.openxmlformats.org/officeDocument/2006/relationships/hyperlink" Target="https://play.google.com/books/reader?id=n8H5PAAAAEAJ&amp;pg=GBS.PA177.w.0.0.0.1_303" TargetMode="External"/><Relationship Id="rId9" Type="http://schemas.openxmlformats.org/officeDocument/2006/relationships/hyperlink" Target="https://drive.google.com/drive/folders/1ScccByby141iAAgGYvl4E-BH_tHjWSqj" TargetMode="External"/><Relationship Id="rId26" Type="http://schemas.openxmlformats.org/officeDocument/2006/relationships/hyperlink" Target="https://play.google.com/books/reader?id=VfvGPAAAAEAJ&amp;pg=GBS.PA51" TargetMode="External"/><Relationship Id="rId25" Type="http://schemas.openxmlformats.org/officeDocument/2006/relationships/hyperlink" Target="https://play.google.com/books/reader?id=sPCuPAAAAEAJ&amp;pg=GBS.PA33" TargetMode="External"/><Relationship Id="rId28" Type="http://schemas.openxmlformats.org/officeDocument/2006/relationships/hyperlink" Target="https://app.luminpdf.com/viewer/6a43d12bb73797f7f04926e2?credentials-id=cdb9ff29-060e-4ef3-a802-62338912642d&amp;can-join-workspace=false&amp;from=drive" TargetMode="External"/><Relationship Id="rId27" Type="http://schemas.openxmlformats.org/officeDocument/2006/relationships/hyperlink" Target="https://drive.google.com/drive/" TargetMode="External"/><Relationship Id="rId5" Type="http://schemas.openxmlformats.org/officeDocument/2006/relationships/hyperlink" Target="https://archive.org/details/oldregimeandrev00tocqgoog" TargetMode="External"/><Relationship Id="rId6" Type="http://schemas.openxmlformats.org/officeDocument/2006/relationships/hyperlink" Target="https://drive.google.com/drive/folders/1eor9aep92u2y21HbrpqAQtUVQkBe4554" TargetMode="External"/><Relationship Id="rId29" Type="http://schemas.openxmlformats.org/officeDocument/2006/relationships/hyperlink" Target="https://play.google.com/books/reader?id=cADbPAAAAEAJ&amp;pg=GBS.PA6" TargetMode="External"/><Relationship Id="rId7" Type="http://schemas.openxmlformats.org/officeDocument/2006/relationships/hyperlink" Target="https://play.google.com/books/reader?id=vfHJPAAAAEAJ&amp;pg=GBS.PA11" TargetMode="External"/><Relationship Id="rId8" Type="http://schemas.openxmlformats.org/officeDocument/2006/relationships/hyperlink" Target="https://www.gutenberg.org/ebooks/3076" TargetMode="External"/><Relationship Id="rId31" Type="http://schemas.openxmlformats.org/officeDocument/2006/relationships/hyperlink" Target="https://books.google.com/books/about/The_Swiss_Republic.html?id=j51UjqqwfhgC" TargetMode="External"/><Relationship Id="rId30" Type="http://schemas.openxmlformats.org/officeDocument/2006/relationships/hyperlink" Target="https://blogs.ubc.ca/fafa/files/2020/01/Riis_How-the-Other-Half-Lives.pdf" TargetMode="External"/><Relationship Id="rId11" Type="http://schemas.openxmlformats.org/officeDocument/2006/relationships/hyperlink" Target="https://dokumen.pub/jp-morgan-amp-co-and-the-crisis-of-capitalism-from-the-wall-street-crash-to-world-war-ii-9781108653602-9781108498371.html" TargetMode="External"/><Relationship Id="rId33" Type="http://schemas.openxmlformats.org/officeDocument/2006/relationships/drawing" Target="../drawings/drawing1.xml"/><Relationship Id="rId10" Type="http://schemas.openxmlformats.org/officeDocument/2006/relationships/hyperlink" Target="https://play.google.com/books/reader?id=gPwSPQAAAEAJ&amp;pg=GBS.PA" TargetMode="External"/><Relationship Id="rId32" Type="http://schemas.openxmlformats.org/officeDocument/2006/relationships/hyperlink" Target="https://digitallibrary.un.org/record/412547?ln=en&amp;v=pdf" TargetMode="External"/><Relationship Id="rId13" Type="http://schemas.openxmlformats.org/officeDocument/2006/relationships/hyperlink" Target="https://play.google.com/books/reader?id=ftUEPQAAAEAJ" TargetMode="External"/><Relationship Id="rId12" Type="http://schemas.openxmlformats.org/officeDocument/2006/relationships/hyperlink" Target="https://drive.google.com/drive/folders/1Wn3XK-y0DRAN8cxTPD026ckBfTfdXTJP" TargetMode="External"/><Relationship Id="rId15" Type="http://schemas.openxmlformats.org/officeDocument/2006/relationships/hyperlink" Target="https://dl.icdst.org/pdfs/files3/4e8ad0e1692a3ead1bf12e88465da1a9.pdf" TargetMode="External"/><Relationship Id="rId14" Type="http://schemas.openxmlformats.org/officeDocument/2006/relationships/hyperlink" Target="https://www.gutenberg.org/ebooks/147" TargetMode="External"/><Relationship Id="rId17" Type="http://schemas.openxmlformats.org/officeDocument/2006/relationships/hyperlink" Target="https://play.google.com/books/reader?id=NYD3PAAAAEAJ&amp;pg=GBS.PA160.w.0.0.0.4_17" TargetMode="External"/><Relationship Id="rId16" Type="http://schemas.openxmlformats.org/officeDocument/2006/relationships/hyperlink" Target="https://drive.google.com/drive/folders/1gWwbUPc4oguCXUCt56jsioiLF9vAtrRO" TargetMode="External"/><Relationship Id="rId19" Type="http://schemas.openxmlformats.org/officeDocument/2006/relationships/hyperlink" Target="https://play.google.com/books/reader?id=MSGzPAAAAEAJ&amp;pg=GBS.PA8" TargetMode="External"/><Relationship Id="rId18" Type="http://schemas.openxmlformats.org/officeDocument/2006/relationships/hyperlink" Target="https://play.google.com/books/reader?id=47PGPAAAAEAJ&amp;pg=GBS.PA36_310" TargetMode="External"/></Relationships>
</file>

<file path=xl/worksheets/_rels/sheet2.xml.rels><?xml version="1.0" encoding="UTF-8" standalone="yes"?><Relationships xmlns="http://schemas.openxmlformats.org/package/2006/relationships"><Relationship Id="rId20" Type="http://schemas.openxmlformats.org/officeDocument/2006/relationships/hyperlink" Target="https://play.google.com/books/reader?id=W-nGPAAAAEAJ" TargetMode="External"/><Relationship Id="rId22" Type="http://schemas.openxmlformats.org/officeDocument/2006/relationships/hyperlink" Target="https://dn720006.ca.archive.org/0/items/ochranarussianse0000atva/ochranarussianse0000atva.pdf" TargetMode="External"/><Relationship Id="rId21" Type="http://schemas.openxmlformats.org/officeDocument/2006/relationships/hyperlink" Target="https://play.google.com/books/reader?id=MyGzPAAAAEAJ&amp;pg=GBS.PA26" TargetMode="External"/><Relationship Id="rId24" Type="http://schemas.openxmlformats.org/officeDocument/2006/relationships/hyperlink" Target="https://play.google.com/books/reader?id=8u7GPAAAAEAJ&amp;pg=GBS.PA38" TargetMode="External"/><Relationship Id="rId23" Type="http://schemas.openxmlformats.org/officeDocument/2006/relationships/hyperlink" Target="https://play.google.com/books/reader?id=4LXGPAAAAEAJ&amp;pg=GBS.PA37_71" TargetMode="External"/><Relationship Id="rId1" Type="http://schemas.openxmlformats.org/officeDocument/2006/relationships/hyperlink" Target="https://play.google.com/books" TargetMode="External"/><Relationship Id="rId2" Type="http://schemas.openxmlformats.org/officeDocument/2006/relationships/hyperlink" Target="https://play.google.com/books" TargetMode="External"/><Relationship Id="rId3" Type="http://schemas.openxmlformats.org/officeDocument/2006/relationships/hyperlink" Target="https://drive.google.com/drive/folders/1W0OhNc8FjvRYyGvB9wAoaFcDZUrbP6lm" TargetMode="External"/><Relationship Id="rId4" Type="http://schemas.openxmlformats.org/officeDocument/2006/relationships/hyperlink" Target="https://play.google.com/books/reader?id=n8H5PAAAAEAJ&amp;pg=GBS.PA177.w.0.0.0.1_303" TargetMode="External"/><Relationship Id="rId9" Type="http://schemas.openxmlformats.org/officeDocument/2006/relationships/hyperlink" Target="https://drive.google.com/drive/folders/1ScccByby141iAAgGYvl4E-BH_tHjWSqj" TargetMode="External"/><Relationship Id="rId26" Type="http://schemas.openxmlformats.org/officeDocument/2006/relationships/hyperlink" Target="https://play.google.com/books/reader?id=VfvGPAAAAEAJ&amp;pg=GBS.PA51" TargetMode="External"/><Relationship Id="rId25" Type="http://schemas.openxmlformats.org/officeDocument/2006/relationships/hyperlink" Target="https://play.google.com/books/reader?id=sPCuPAAAAEAJ&amp;pg=GBS.PA33" TargetMode="External"/><Relationship Id="rId28" Type="http://schemas.openxmlformats.org/officeDocument/2006/relationships/hyperlink" Target="https://app.luminpdf.com/viewer/6a43d12bb73797f7f04926e2?credentials-id=cdb9ff29-060e-4ef3-a802-62338912642d&amp;can-join-workspace=false&amp;from=drive" TargetMode="External"/><Relationship Id="rId27" Type="http://schemas.openxmlformats.org/officeDocument/2006/relationships/hyperlink" Target="https://drive.google.com/drive/" TargetMode="External"/><Relationship Id="rId5" Type="http://schemas.openxmlformats.org/officeDocument/2006/relationships/hyperlink" Target="https://archive.org/details/oldregimeandrev00tocqgoog" TargetMode="External"/><Relationship Id="rId6" Type="http://schemas.openxmlformats.org/officeDocument/2006/relationships/hyperlink" Target="https://drive.google.com/drive/folders/1eor9aep92u2y21HbrpqAQtUVQkBe4554" TargetMode="External"/><Relationship Id="rId29" Type="http://schemas.openxmlformats.org/officeDocument/2006/relationships/hyperlink" Target="https://play.google.com/books/reader?id=cADbPAAAAEAJ&amp;pg=GBS.PA6" TargetMode="External"/><Relationship Id="rId7" Type="http://schemas.openxmlformats.org/officeDocument/2006/relationships/hyperlink" Target="https://play.google.com/books/reader?id=vfHJPAAAAEAJ&amp;pg=GBS.PA11" TargetMode="External"/><Relationship Id="rId8" Type="http://schemas.openxmlformats.org/officeDocument/2006/relationships/hyperlink" Target="https://www.gutenberg.org/ebooks/3076" TargetMode="External"/><Relationship Id="rId31" Type="http://schemas.openxmlformats.org/officeDocument/2006/relationships/hyperlink" Target="https://books.google.com/books/about/The_Swiss_Republic.html?id=j51UjqqwfhgC" TargetMode="External"/><Relationship Id="rId30" Type="http://schemas.openxmlformats.org/officeDocument/2006/relationships/hyperlink" Target="https://blogs.ubc.ca/fafa/files/2020/01/Riis_How-the-Other-Half-Lives.pdf" TargetMode="External"/><Relationship Id="rId11" Type="http://schemas.openxmlformats.org/officeDocument/2006/relationships/hyperlink" Target="https://dokumen.pub/jp-morgan-amp-co-and-the-crisis-of-capitalism-from-the-wall-street-crash-to-world-war-ii-9781108653602-9781108498371.html" TargetMode="External"/><Relationship Id="rId33" Type="http://schemas.openxmlformats.org/officeDocument/2006/relationships/drawing" Target="../drawings/drawing2.xml"/><Relationship Id="rId10" Type="http://schemas.openxmlformats.org/officeDocument/2006/relationships/hyperlink" Target="https://play.google.com/books/reader?id=gPwSPQAAAEAJ&amp;pg=GBS.PA" TargetMode="External"/><Relationship Id="rId32" Type="http://schemas.openxmlformats.org/officeDocument/2006/relationships/hyperlink" Target="https://digitallibrary.un.org/record/412547?ln=en&amp;v=pdf" TargetMode="External"/><Relationship Id="rId13" Type="http://schemas.openxmlformats.org/officeDocument/2006/relationships/hyperlink" Target="https://play.google.com/books/reader?id=ftUEPQAAAEAJ" TargetMode="External"/><Relationship Id="rId12" Type="http://schemas.openxmlformats.org/officeDocument/2006/relationships/hyperlink" Target="https://drive.google.com/drive/folders/1Wn3XK-y0DRAN8cxTPD026ckBfTfdXTJP" TargetMode="External"/><Relationship Id="rId15" Type="http://schemas.openxmlformats.org/officeDocument/2006/relationships/hyperlink" Target="https://dl.icdst.org/pdfs/files3/4e8ad0e1692a3ead1bf12e88465da1a9.pdf" TargetMode="External"/><Relationship Id="rId14" Type="http://schemas.openxmlformats.org/officeDocument/2006/relationships/hyperlink" Target="https://www.gutenberg.org/ebooks/147" TargetMode="External"/><Relationship Id="rId17" Type="http://schemas.openxmlformats.org/officeDocument/2006/relationships/hyperlink" Target="https://play.google.com/books/reader?id=NYD3PAAAAEAJ&amp;pg=GBS.PA160.w.0.0.0.4_17" TargetMode="External"/><Relationship Id="rId16" Type="http://schemas.openxmlformats.org/officeDocument/2006/relationships/hyperlink" Target="https://drive.google.com/drive/folders/1gWwbUPc4oguCXUCt56jsioiLF9vAtrRO" TargetMode="External"/><Relationship Id="rId19" Type="http://schemas.openxmlformats.org/officeDocument/2006/relationships/hyperlink" Target="https://play.google.com/books/reader?id=MSGzPAAAAEAJ&amp;pg=GBS.PA8" TargetMode="External"/><Relationship Id="rId18" Type="http://schemas.openxmlformats.org/officeDocument/2006/relationships/hyperlink" Target="https://play.google.com/books/reader?id=47PGPAAAAEAJ&amp;pg=GBS.PA36_310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bannedthought.net/USSR/Lenin/Lenin-SocialismAndWar-Moscow-1967-OCR-sm.pdf" TargetMode="External"/><Relationship Id="rId2" Type="http://schemas.openxmlformats.org/officeDocument/2006/relationships/hyperlink" Target="https://theanarchistlibrary.org/library/errico-malatesta-anarchy" TargetMode="External"/><Relationship Id="rId3" Type="http://schemas.openxmlformats.org/officeDocument/2006/relationships/hyperlink" Target="https://www.marxists.org/archive/marx/works/download/pdf/Manifesto.pdf" TargetMode="External"/><Relationship Id="rId4" Type="http://schemas.openxmlformats.org/officeDocument/2006/relationships/hyperlink" Target="https://archive.org/details/chekaleninspolit0000legg" TargetMode="External"/><Relationship Id="rId5" Type="http://schemas.openxmlformats.org/officeDocument/2006/relationships/hyperlink" Target="https://archive.org/details/rothschildsfinan00reevuoft" TargetMode="External"/><Relationship Id="rId6" Type="http://schemas.openxmlformats.org/officeDocument/2006/relationships/hyperlink" Target="https://www.gutenberg.org/ebooks/360" TargetMode="External"/><Relationship Id="rId7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63"/>
    <col customWidth="1" min="2" max="2" width="9.0"/>
    <col customWidth="1" min="3" max="3" width="5.5"/>
    <col customWidth="1" min="4" max="4" width="2.13"/>
    <col customWidth="1" min="5" max="5" width="5.0"/>
    <col customWidth="1" min="6" max="6" width="4.13"/>
    <col customWidth="1" min="7" max="7" width="4.88"/>
    <col customWidth="1" min="8" max="8" width="4.0"/>
    <col customWidth="1" min="9" max="9" width="2.25"/>
    <col customWidth="1" min="10" max="10" width="5.0"/>
    <col customWidth="1" min="11" max="11" width="4.38"/>
    <col customWidth="1" min="12" max="12" width="5.5"/>
    <col customWidth="1" min="13" max="13" width="5.88"/>
    <col customWidth="1" min="14" max="14" width="5.25"/>
    <col customWidth="1" min="15" max="16" width="6.5"/>
    <col customWidth="1" min="17" max="17" width="5.88"/>
    <col customWidth="1" min="18" max="18" width="5.75"/>
  </cols>
  <sheetData>
    <row r="1">
      <c r="A1" s="1"/>
      <c r="B1" s="1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5" t="s">
        <v>1</v>
      </c>
      <c r="P1" s="5" t="s">
        <v>1</v>
      </c>
      <c r="Q1" s="1"/>
      <c r="R1" s="1"/>
      <c r="S1" s="4" t="s">
        <v>0</v>
      </c>
      <c r="T1" s="7"/>
      <c r="U1" s="1"/>
      <c r="V1" s="1"/>
      <c r="W1" s="1"/>
    </row>
    <row r="2">
      <c r="A2" s="1"/>
      <c r="B2" s="1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3"/>
      <c r="O2" s="5" t="s">
        <v>5</v>
      </c>
      <c r="P2" s="5" t="s">
        <v>6</v>
      </c>
      <c r="Q2" s="1"/>
      <c r="R2" s="1"/>
      <c r="S2" s="4" t="s">
        <v>0</v>
      </c>
      <c r="T2" s="7"/>
      <c r="U2" s="1"/>
      <c r="V2" s="1"/>
      <c r="W2" s="1"/>
    </row>
    <row r="3">
      <c r="A3" s="1"/>
      <c r="B3" s="1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3"/>
      <c r="O3" s="5" t="s">
        <v>7</v>
      </c>
      <c r="P3" s="5" t="s">
        <v>7</v>
      </c>
      <c r="Q3" s="1"/>
      <c r="R3" s="1"/>
      <c r="S3" s="4" t="s">
        <v>0</v>
      </c>
      <c r="T3" s="7"/>
      <c r="U3" s="1"/>
      <c r="V3" s="1"/>
      <c r="W3" s="1"/>
    </row>
    <row r="4">
      <c r="A4" s="1"/>
      <c r="B4" s="1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3"/>
      <c r="O4" s="5" t="s">
        <v>8</v>
      </c>
      <c r="P4" s="5" t="s">
        <v>8</v>
      </c>
      <c r="Q4" s="1"/>
      <c r="R4" s="1"/>
      <c r="S4" s="4" t="s">
        <v>0</v>
      </c>
      <c r="T4" s="7"/>
      <c r="U4" s="1"/>
      <c r="V4" s="1"/>
      <c r="W4" s="1"/>
    </row>
    <row r="5">
      <c r="A5" s="1"/>
      <c r="B5" s="10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3"/>
      <c r="O5" s="10">
        <v>150.0</v>
      </c>
      <c r="P5" s="12">
        <v>300.0</v>
      </c>
      <c r="Q5" s="1"/>
      <c r="R5" s="1"/>
      <c r="S5" s="4" t="s">
        <v>0</v>
      </c>
      <c r="T5" s="7"/>
      <c r="U5" s="1"/>
      <c r="V5" s="1"/>
      <c r="W5" s="1"/>
    </row>
    <row r="6">
      <c r="A6" s="14" t="s">
        <v>16</v>
      </c>
      <c r="B6" s="1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6"/>
      <c r="O6" s="17"/>
      <c r="P6" s="17"/>
      <c r="Q6" s="10"/>
      <c r="R6" s="1"/>
      <c r="S6" s="4" t="s">
        <v>0</v>
      </c>
      <c r="T6" s="7"/>
      <c r="U6" s="1"/>
      <c r="V6" s="1"/>
      <c r="W6" s="1"/>
    </row>
    <row r="7">
      <c r="A7" s="1"/>
      <c r="B7" s="1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6"/>
      <c r="O7" s="5" t="s">
        <v>24</v>
      </c>
      <c r="P7" s="5" t="s">
        <v>24</v>
      </c>
      <c r="Q7" s="10"/>
      <c r="R7" s="1"/>
      <c r="S7" s="4" t="s">
        <v>0</v>
      </c>
      <c r="T7" s="7"/>
      <c r="U7" s="1"/>
      <c r="V7" s="1"/>
      <c r="W7" s="1"/>
    </row>
    <row r="8">
      <c r="A8" s="14" t="s">
        <v>16</v>
      </c>
      <c r="B8" s="1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6"/>
      <c r="O8" s="17" t="str">
        <f>sum(O21:O60)</f>
        <v>#DIV/0!</v>
      </c>
      <c r="P8" s="17">
        <f>sum(P27:P60)</f>
        <v>0</v>
      </c>
      <c r="Q8" s="10"/>
      <c r="R8" s="20" t="s">
        <v>28</v>
      </c>
      <c r="S8" s="4" t="s">
        <v>0</v>
      </c>
      <c r="T8" s="7"/>
      <c r="U8" s="1"/>
      <c r="V8" s="1"/>
      <c r="W8" s="1"/>
    </row>
    <row r="9">
      <c r="A9" s="1"/>
      <c r="B9" s="1"/>
      <c r="C9" s="21"/>
      <c r="D9" s="21"/>
      <c r="E9" s="21"/>
      <c r="F9" s="15"/>
      <c r="G9" s="21"/>
      <c r="H9" s="15"/>
      <c r="I9" s="15"/>
      <c r="J9" s="15"/>
      <c r="K9" s="15"/>
      <c r="L9" s="2"/>
      <c r="M9" s="15"/>
      <c r="N9" s="16"/>
      <c r="O9" s="5" t="s">
        <v>29</v>
      </c>
      <c r="P9" s="5" t="s">
        <v>6</v>
      </c>
      <c r="Q9" s="20" t="s">
        <v>24</v>
      </c>
      <c r="R9" s="20" t="s">
        <v>30</v>
      </c>
      <c r="S9" s="4" t="s">
        <v>0</v>
      </c>
      <c r="T9" s="1"/>
      <c r="U9" s="1"/>
      <c r="V9" s="1"/>
      <c r="W9" s="1"/>
    </row>
    <row r="10">
      <c r="A10" s="22"/>
      <c r="B10" s="22"/>
      <c r="C10" s="21" t="s">
        <v>4</v>
      </c>
      <c r="D10" s="23"/>
      <c r="E10" s="23"/>
      <c r="F10" s="21"/>
      <c r="G10" s="23"/>
      <c r="H10" s="21"/>
      <c r="I10" s="21"/>
      <c r="J10" s="21"/>
      <c r="K10" s="21"/>
      <c r="L10" s="21" t="s">
        <v>24</v>
      </c>
      <c r="M10" s="21" t="s">
        <v>34</v>
      </c>
      <c r="N10" s="24" t="s">
        <v>35</v>
      </c>
      <c r="O10" s="5" t="s">
        <v>36</v>
      </c>
      <c r="P10" s="5" t="s">
        <v>36</v>
      </c>
      <c r="Q10" s="20" t="s">
        <v>1</v>
      </c>
      <c r="R10" s="20" t="s">
        <v>37</v>
      </c>
      <c r="S10" s="4" t="s">
        <v>0</v>
      </c>
      <c r="T10" s="22"/>
      <c r="U10" s="25"/>
      <c r="V10" s="25"/>
      <c r="W10" s="22"/>
    </row>
    <row r="11">
      <c r="A11" s="20" t="s">
        <v>41</v>
      </c>
      <c r="B11" s="20" t="s">
        <v>10</v>
      </c>
      <c r="C11" s="21" t="s">
        <v>11</v>
      </c>
      <c r="D11" s="27"/>
      <c r="E11" s="27" t="s">
        <v>46</v>
      </c>
      <c r="F11" s="21" t="s">
        <v>44</v>
      </c>
      <c r="G11" s="27" t="s">
        <v>46</v>
      </c>
      <c r="H11" s="21" t="s">
        <v>47</v>
      </c>
      <c r="I11" s="21"/>
      <c r="J11" s="21" t="s">
        <v>29</v>
      </c>
      <c r="K11" s="21" t="s">
        <v>48</v>
      </c>
      <c r="L11" s="21" t="s">
        <v>34</v>
      </c>
      <c r="M11" s="21" t="s">
        <v>49</v>
      </c>
      <c r="N11" s="24" t="s">
        <v>50</v>
      </c>
      <c r="O11" s="5" t="s">
        <v>49</v>
      </c>
      <c r="P11" s="5" t="s">
        <v>49</v>
      </c>
      <c r="Q11" s="20" t="s">
        <v>51</v>
      </c>
      <c r="R11" s="20" t="s">
        <v>13</v>
      </c>
      <c r="S11" s="4" t="s">
        <v>0</v>
      </c>
      <c r="T11" s="22"/>
      <c r="U11" s="25"/>
      <c r="V11" s="25"/>
      <c r="W11" s="22"/>
    </row>
    <row r="12">
      <c r="A12" s="20" t="s">
        <v>52</v>
      </c>
      <c r="B12" s="4"/>
      <c r="C12" s="4"/>
      <c r="D12" s="4"/>
      <c r="E12" s="4"/>
      <c r="F12" s="4"/>
      <c r="G12" s="4"/>
      <c r="H12" s="4"/>
      <c r="I12" s="4"/>
      <c r="J12" s="4"/>
      <c r="K12" s="28"/>
      <c r="L12" s="4"/>
      <c r="M12" s="15"/>
      <c r="N12" s="16"/>
      <c r="O12" s="17"/>
      <c r="Q12" s="4"/>
      <c r="S12" s="4" t="s">
        <v>0</v>
      </c>
    </row>
    <row r="13">
      <c r="A13" s="4" t="s">
        <v>58</v>
      </c>
      <c r="B13" s="4" t="s">
        <v>17</v>
      </c>
      <c r="C13" s="4"/>
      <c r="D13" s="4"/>
      <c r="E13" s="4"/>
      <c r="F13" s="4">
        <v>1.0</v>
      </c>
      <c r="G13" s="4" t="s">
        <v>17</v>
      </c>
      <c r="H13" s="4">
        <v>53.0</v>
      </c>
      <c r="I13" s="4"/>
      <c r="J13" s="4"/>
      <c r="K13" s="28"/>
      <c r="L13" s="4"/>
      <c r="M13" s="15"/>
      <c r="N13" s="16"/>
      <c r="O13" s="17"/>
      <c r="Q13" s="4"/>
      <c r="R13" s="4"/>
      <c r="S13" s="4"/>
    </row>
    <row r="14">
      <c r="A14" s="4" t="s">
        <v>54</v>
      </c>
      <c r="B14" s="4" t="s">
        <v>55</v>
      </c>
      <c r="C14" s="4">
        <v>1856.0</v>
      </c>
      <c r="D14" s="4"/>
      <c r="E14" s="4">
        <v>234.0</v>
      </c>
      <c r="F14" s="4">
        <v>9.0</v>
      </c>
      <c r="G14" s="4">
        <v>234.0</v>
      </c>
      <c r="H14" s="4">
        <v>30.0</v>
      </c>
      <c r="I14" s="4"/>
      <c r="J14" s="26" t="s">
        <v>56</v>
      </c>
      <c r="K14" s="38" t="s">
        <v>57</v>
      </c>
      <c r="L14" s="4">
        <v>360.0</v>
      </c>
      <c r="M14" s="15">
        <f t="shared" ref="M14:M15" si="1">L14-G14</f>
        <v>126</v>
      </c>
      <c r="N14" s="16">
        <f t="shared" ref="N14:N15" si="2">G14/L14</f>
        <v>0.65</v>
      </c>
      <c r="O14" s="17">
        <f t="shared" ref="O14:O15" si="3">IFERROR((((1-N14)*Q14)*1000)/$O$5/60, "")</f>
        <v>6.494444444</v>
      </c>
      <c r="Q14" s="4">
        <v>167.0</v>
      </c>
      <c r="R14" s="26" t="s">
        <v>59</v>
      </c>
      <c r="S14" s="4" t="s">
        <v>0</v>
      </c>
    </row>
    <row r="15">
      <c r="A15" s="10" t="s">
        <v>60</v>
      </c>
      <c r="B15" s="10" t="s">
        <v>61</v>
      </c>
      <c r="C15" s="29">
        <v>1919.0</v>
      </c>
      <c r="D15" s="15"/>
      <c r="E15" s="15">
        <v>25.0</v>
      </c>
      <c r="F15" s="15">
        <v>1.0</v>
      </c>
      <c r="G15" s="15">
        <v>25.0</v>
      </c>
      <c r="H15" s="15">
        <v>35.0</v>
      </c>
      <c r="I15" s="15"/>
      <c r="J15" s="39" t="s">
        <v>62</v>
      </c>
      <c r="K15" s="39" t="s">
        <v>63</v>
      </c>
      <c r="L15" s="15">
        <v>439.0</v>
      </c>
      <c r="M15" s="15">
        <f t="shared" si="1"/>
        <v>414</v>
      </c>
      <c r="N15" s="16">
        <f t="shared" si="2"/>
        <v>0.0569476082</v>
      </c>
      <c r="O15" s="17">
        <f t="shared" si="3"/>
        <v>12.57403189</v>
      </c>
      <c r="P15" s="17" t="str">
        <f>IFERROR((((1-#REF!)*Q15)/$P$5/60), "")</f>
        <v/>
      </c>
      <c r="Q15" s="10">
        <v>120.0</v>
      </c>
      <c r="R15" s="14" t="s">
        <v>64</v>
      </c>
      <c r="S15" s="4" t="s">
        <v>0</v>
      </c>
      <c r="T15" s="1"/>
      <c r="U15" s="1"/>
      <c r="V15" s="1"/>
      <c r="W15" s="1"/>
    </row>
    <row r="16">
      <c r="A16" s="4" t="s">
        <v>65</v>
      </c>
      <c r="B16" s="4" t="s">
        <v>66</v>
      </c>
      <c r="C16" s="4">
        <v>2009.0</v>
      </c>
      <c r="D16" s="4"/>
      <c r="E16" s="4"/>
      <c r="F16" s="4"/>
      <c r="G16" s="4"/>
      <c r="H16" s="4"/>
      <c r="I16" s="4"/>
      <c r="J16" s="4"/>
      <c r="K16" s="4"/>
      <c r="L16" s="4"/>
      <c r="M16" s="15"/>
      <c r="N16" s="16"/>
      <c r="O16" s="17"/>
      <c r="Q16" s="4"/>
      <c r="S16" s="4" t="s">
        <v>0</v>
      </c>
    </row>
    <row r="17">
      <c r="A17" s="4" t="s">
        <v>67</v>
      </c>
      <c r="B17" s="4" t="s">
        <v>68</v>
      </c>
      <c r="C17" s="4">
        <v>2022.0</v>
      </c>
      <c r="D17" s="4"/>
      <c r="E17" s="4">
        <v>300.0</v>
      </c>
      <c r="F17" s="4">
        <v>7.0</v>
      </c>
      <c r="G17" s="4">
        <v>300.0</v>
      </c>
      <c r="H17" s="4">
        <v>6.0</v>
      </c>
      <c r="I17" s="4"/>
      <c r="J17" s="26" t="s">
        <v>69</v>
      </c>
      <c r="K17" s="26" t="s">
        <v>70</v>
      </c>
      <c r="L17" s="4">
        <v>990.0</v>
      </c>
      <c r="M17" s="15">
        <f t="shared" ref="M17:M20" si="4">L17-G17</f>
        <v>690</v>
      </c>
      <c r="N17" s="16">
        <f t="shared" ref="N17:N20" si="5">G17/L17</f>
        <v>0.303030303</v>
      </c>
      <c r="O17" s="17">
        <f t="shared" ref="O17:O20" si="6">IFERROR((((1-N17)*Q17)*1000)/$O$5/60, "")</f>
        <v>13.55218855</v>
      </c>
      <c r="Q17" s="4">
        <v>175.0</v>
      </c>
      <c r="R17" s="26" t="s">
        <v>71</v>
      </c>
      <c r="S17" s="4" t="s">
        <v>0</v>
      </c>
    </row>
    <row r="18">
      <c r="A18" s="4" t="s">
        <v>72</v>
      </c>
      <c r="B18" s="4" t="s">
        <v>73</v>
      </c>
      <c r="C18" s="4">
        <v>1775.0</v>
      </c>
      <c r="D18" s="4"/>
      <c r="E18" s="4">
        <v>5.0</v>
      </c>
      <c r="F18" s="4"/>
      <c r="G18" s="4">
        <v>5.0</v>
      </c>
      <c r="H18" s="4">
        <v>6.0</v>
      </c>
      <c r="I18" s="4"/>
      <c r="J18" s="26" t="s">
        <v>74</v>
      </c>
      <c r="K18" s="26" t="s">
        <v>75</v>
      </c>
      <c r="L18" s="4">
        <v>70.0</v>
      </c>
      <c r="M18" s="15">
        <f t="shared" si="4"/>
        <v>65</v>
      </c>
      <c r="N18" s="16">
        <f t="shared" si="5"/>
        <v>0.07142857143</v>
      </c>
      <c r="O18" s="17">
        <f t="shared" si="6"/>
        <v>17.23015873</v>
      </c>
      <c r="Q18" s="4">
        <v>167.0</v>
      </c>
      <c r="R18" s="26" t="s">
        <v>76</v>
      </c>
      <c r="S18" s="4" t="s">
        <v>0</v>
      </c>
    </row>
    <row r="19">
      <c r="A19" s="4" t="s">
        <v>77</v>
      </c>
      <c r="B19" s="4" t="s">
        <v>78</v>
      </c>
      <c r="C19" s="4" t="s">
        <v>79</v>
      </c>
      <c r="D19" s="4"/>
      <c r="E19" s="4">
        <v>46.0</v>
      </c>
      <c r="F19" s="4"/>
      <c r="G19" s="4">
        <v>46.0</v>
      </c>
      <c r="H19" s="4"/>
      <c r="I19" s="4"/>
      <c r="J19" s="4"/>
      <c r="K19" s="26" t="s">
        <v>80</v>
      </c>
      <c r="L19" s="4">
        <v>904.0</v>
      </c>
      <c r="M19" s="15">
        <f t="shared" si="4"/>
        <v>858</v>
      </c>
      <c r="N19" s="16">
        <f t="shared" si="5"/>
        <v>0.05088495575</v>
      </c>
      <c r="O19" s="17">
        <f t="shared" si="6"/>
        <v>17.61135693</v>
      </c>
      <c r="Q19" s="4">
        <v>167.0</v>
      </c>
      <c r="S19" s="4" t="s">
        <v>0</v>
      </c>
    </row>
    <row r="20">
      <c r="A20" s="10" t="s">
        <v>81</v>
      </c>
      <c r="B20" s="4" t="s">
        <v>81</v>
      </c>
      <c r="C20" s="4">
        <v>1885.0</v>
      </c>
      <c r="D20" s="4"/>
      <c r="E20" s="4">
        <v>167.0</v>
      </c>
      <c r="F20" s="4">
        <v>6.0</v>
      </c>
      <c r="G20" s="4">
        <v>167.0</v>
      </c>
      <c r="H20" s="4">
        <v>61.0</v>
      </c>
      <c r="I20" s="28"/>
      <c r="J20" s="38" t="s">
        <v>82</v>
      </c>
      <c r="K20" s="38" t="s">
        <v>83</v>
      </c>
      <c r="L20" s="4">
        <v>900.0</v>
      </c>
      <c r="M20" s="15">
        <f t="shared" si="4"/>
        <v>733</v>
      </c>
      <c r="N20" s="16">
        <f t="shared" si="5"/>
        <v>0.1855555556</v>
      </c>
      <c r="O20" s="17">
        <f t="shared" si="6"/>
        <v>24.43333333</v>
      </c>
      <c r="Q20" s="4">
        <v>270.0</v>
      </c>
      <c r="S20" s="4" t="s">
        <v>0</v>
      </c>
    </row>
    <row r="21">
      <c r="A21" s="20" t="s">
        <v>84</v>
      </c>
      <c r="B21" s="4"/>
      <c r="C21" s="4"/>
      <c r="D21" s="4"/>
      <c r="E21" s="4"/>
      <c r="F21" s="4"/>
      <c r="G21" s="4"/>
      <c r="H21" s="4"/>
      <c r="I21" s="4"/>
      <c r="J21" s="4"/>
      <c r="K21" s="28"/>
      <c r="L21" s="4"/>
      <c r="M21" s="15"/>
      <c r="N21" s="16"/>
      <c r="O21" s="17"/>
      <c r="Q21" s="4"/>
      <c r="S21" s="4" t="s">
        <v>0</v>
      </c>
    </row>
    <row r="22">
      <c r="A22" s="40" t="s">
        <v>85</v>
      </c>
      <c r="B22" s="40" t="s">
        <v>86</v>
      </c>
      <c r="C22" s="29">
        <v>1917.0</v>
      </c>
      <c r="D22" s="15"/>
      <c r="E22" s="15">
        <v>37.0</v>
      </c>
      <c r="F22" s="15"/>
      <c r="G22" s="15">
        <v>37.0</v>
      </c>
      <c r="H22" s="15"/>
      <c r="I22" s="15"/>
      <c r="J22" s="15"/>
      <c r="K22" s="39" t="s">
        <v>87</v>
      </c>
      <c r="L22" s="15">
        <v>133.0</v>
      </c>
      <c r="M22" s="15">
        <f t="shared" ref="M22:M23" si="7">L22-G22</f>
        <v>96</v>
      </c>
      <c r="N22" s="16">
        <f t="shared" ref="N22:N23" si="8">G22/L22</f>
        <v>0.2781954887</v>
      </c>
      <c r="O22" s="17">
        <f t="shared" ref="O22:O23" si="9">IFERROR((((1-N22)*Q22)*1000)/$O$5/60, "")</f>
        <v>3.20802005</v>
      </c>
      <c r="P22" s="17" t="str">
        <f t="shared" ref="P22:P23" si="10">IFERROR((((1-#REF!)*Q22)/$P$5/60), "")</f>
        <v/>
      </c>
      <c r="Q22" s="10">
        <v>40.0</v>
      </c>
      <c r="R22" s="14" t="s">
        <v>95</v>
      </c>
      <c r="S22" s="4" t="s">
        <v>0</v>
      </c>
      <c r="T22" s="1"/>
      <c r="U22" s="40"/>
      <c r="V22" s="40"/>
      <c r="W22" s="1"/>
    </row>
    <row r="23">
      <c r="A23" s="40" t="s">
        <v>89</v>
      </c>
      <c r="B23" s="40" t="s">
        <v>86</v>
      </c>
      <c r="C23" s="29">
        <v>1917.0</v>
      </c>
      <c r="D23" s="15"/>
      <c r="E23" s="15">
        <v>39.0</v>
      </c>
      <c r="F23" s="15"/>
      <c r="G23" s="15">
        <v>39.0</v>
      </c>
      <c r="H23" s="15"/>
      <c r="I23" s="15"/>
      <c r="J23" s="15"/>
      <c r="K23" s="39" t="s">
        <v>90</v>
      </c>
      <c r="L23" s="15">
        <v>253.0</v>
      </c>
      <c r="M23" s="15">
        <f t="shared" si="7"/>
        <v>214</v>
      </c>
      <c r="N23" s="16">
        <f t="shared" si="8"/>
        <v>0.1541501976</v>
      </c>
      <c r="O23" s="17">
        <f t="shared" si="9"/>
        <v>3.759332455</v>
      </c>
      <c r="P23" s="17" t="str">
        <f t="shared" si="10"/>
        <v/>
      </c>
      <c r="Q23" s="10">
        <v>40.0</v>
      </c>
      <c r="R23" s="14" t="s">
        <v>98</v>
      </c>
      <c r="S23" s="4" t="s">
        <v>0</v>
      </c>
      <c r="T23" s="1"/>
      <c r="U23" s="40"/>
      <c r="V23" s="40"/>
      <c r="W23" s="1"/>
    </row>
    <row r="24">
      <c r="A24" s="20" t="s">
        <v>92</v>
      </c>
      <c r="B24" s="4"/>
      <c r="C24" s="4"/>
      <c r="D24" s="4"/>
      <c r="E24" s="4"/>
      <c r="F24" s="4"/>
      <c r="G24" s="4"/>
      <c r="H24" s="4"/>
      <c r="I24" s="4"/>
      <c r="J24" s="4"/>
      <c r="K24" s="28"/>
      <c r="L24" s="4"/>
      <c r="M24" s="15"/>
      <c r="N24" s="16"/>
      <c r="O24" s="17"/>
      <c r="Q24" s="4"/>
      <c r="S24" s="4" t="s">
        <v>0</v>
      </c>
    </row>
    <row r="25">
      <c r="A25" s="40" t="s">
        <v>93</v>
      </c>
      <c r="B25" s="40"/>
      <c r="C25" s="29">
        <v>1917.0</v>
      </c>
      <c r="D25" s="2"/>
      <c r="E25" s="2"/>
      <c r="F25" s="2"/>
      <c r="G25" s="2"/>
      <c r="H25" s="2"/>
      <c r="I25" s="2"/>
      <c r="J25" s="2"/>
      <c r="K25" s="2"/>
      <c r="L25" s="2"/>
      <c r="M25" s="15"/>
      <c r="N25" s="16"/>
      <c r="O25" s="17" t="str">
        <f>IFERROR(((1-#REF!)*(Q25*1000))/$O$5/60, "")
</f>
        <v/>
      </c>
      <c r="P25" s="17" t="str">
        <f t="shared" ref="P25:P27" si="11">IFERROR((((1-#REF!)*Q25)/$P$5/60), "")</f>
        <v/>
      </c>
      <c r="Q25" s="1"/>
      <c r="R25" s="14" t="s">
        <v>94</v>
      </c>
      <c r="S25" s="4" t="s">
        <v>0</v>
      </c>
      <c r="T25" s="1"/>
      <c r="U25" s="40"/>
      <c r="V25" s="40"/>
      <c r="W25" s="1"/>
    </row>
    <row r="26">
      <c r="A26" s="40" t="s">
        <v>96</v>
      </c>
      <c r="B26" s="40"/>
      <c r="C26" s="29">
        <v>2006.0</v>
      </c>
      <c r="D26" s="15"/>
      <c r="E26" s="15">
        <v>38.0</v>
      </c>
      <c r="F26" s="15"/>
      <c r="G26" s="15">
        <v>38.0</v>
      </c>
      <c r="H26" s="15"/>
      <c r="I26" s="15"/>
      <c r="J26" s="15"/>
      <c r="K26" s="39" t="s">
        <v>97</v>
      </c>
      <c r="L26" s="15">
        <v>241.0</v>
      </c>
      <c r="M26" s="15">
        <f t="shared" ref="M26:M27" si="12">L26-G26</f>
        <v>203</v>
      </c>
      <c r="N26" s="16">
        <f t="shared" ref="N26:N27" si="13">G26/L26</f>
        <v>0.1576763485</v>
      </c>
      <c r="O26" s="17">
        <f t="shared" ref="O26:O27" si="14">IFERROR((((1-N26)*Q26)*1000)/$O$5/60, "")</f>
        <v>7.019363762</v>
      </c>
      <c r="P26" s="17" t="str">
        <f t="shared" si="11"/>
        <v/>
      </c>
      <c r="Q26" s="10">
        <v>75.0</v>
      </c>
      <c r="R26" s="1"/>
      <c r="S26" s="4" t="s">
        <v>0</v>
      </c>
      <c r="T26" s="1"/>
      <c r="U26" s="40"/>
      <c r="V26" s="40"/>
      <c r="W26" s="1"/>
    </row>
    <row r="27">
      <c r="A27" s="40" t="s">
        <v>99</v>
      </c>
      <c r="B27" s="40" t="s">
        <v>15</v>
      </c>
      <c r="C27" s="29">
        <v>1925.0</v>
      </c>
      <c r="D27" s="15"/>
      <c r="E27" s="15">
        <v>38.0</v>
      </c>
      <c r="F27" s="15"/>
      <c r="G27" s="15">
        <v>38.0</v>
      </c>
      <c r="H27" s="15"/>
      <c r="I27" s="15"/>
      <c r="J27" s="15"/>
      <c r="K27" s="39" t="s">
        <v>100</v>
      </c>
      <c r="L27" s="15">
        <v>213.0</v>
      </c>
      <c r="M27" s="15">
        <f t="shared" si="12"/>
        <v>175</v>
      </c>
      <c r="N27" s="16">
        <f t="shared" si="13"/>
        <v>0.1784037559</v>
      </c>
      <c r="O27" s="17">
        <f t="shared" si="14"/>
        <v>4.016692749</v>
      </c>
      <c r="P27" s="17" t="str">
        <f t="shared" si="11"/>
        <v/>
      </c>
      <c r="Q27" s="10">
        <v>44.0</v>
      </c>
      <c r="R27" s="14" t="s">
        <v>106</v>
      </c>
      <c r="S27" s="4" t="s">
        <v>0</v>
      </c>
      <c r="T27" s="1"/>
      <c r="U27" s="40"/>
      <c r="V27" s="40"/>
      <c r="W27" s="1"/>
    </row>
    <row r="28">
      <c r="A28" s="20" t="s">
        <v>102</v>
      </c>
      <c r="B28" s="40"/>
      <c r="C28" s="15"/>
      <c r="D28" s="15"/>
      <c r="E28" s="15"/>
      <c r="F28" s="2"/>
      <c r="G28" s="15"/>
      <c r="H28" s="2"/>
      <c r="I28" s="2"/>
      <c r="J28" s="2"/>
      <c r="K28" s="15"/>
      <c r="L28" s="15"/>
      <c r="M28" s="15"/>
      <c r="N28" s="16"/>
      <c r="O28" s="17"/>
      <c r="P28" s="17"/>
      <c r="Q28" s="1"/>
      <c r="R28" s="10"/>
      <c r="S28" s="4" t="s">
        <v>0</v>
      </c>
      <c r="T28" s="1"/>
      <c r="U28" s="41"/>
      <c r="V28" s="41"/>
      <c r="W28" s="1"/>
    </row>
    <row r="29">
      <c r="A29" s="40" t="s">
        <v>103</v>
      </c>
      <c r="B29" s="40"/>
      <c r="C29" s="15"/>
      <c r="D29" s="15"/>
      <c r="E29" s="15">
        <v>51.0</v>
      </c>
      <c r="F29" s="2"/>
      <c r="G29" s="15">
        <v>51.0</v>
      </c>
      <c r="H29" s="2"/>
      <c r="I29" s="2"/>
      <c r="J29" s="2"/>
      <c r="K29" s="39" t="s">
        <v>104</v>
      </c>
      <c r="L29" s="15">
        <v>700.0</v>
      </c>
      <c r="M29" s="15">
        <f t="shared" ref="M29:M34" si="15">L29-G29</f>
        <v>649</v>
      </c>
      <c r="N29" s="16">
        <f t="shared" ref="N29:N30" si="16">G29/L29</f>
        <v>0.07285714286</v>
      </c>
      <c r="O29" s="17">
        <f t="shared" ref="O29:O34" si="17">IFERROR((((1-N29)*Q29)*1000)/$O$5/60, "")</f>
        <v>0</v>
      </c>
      <c r="P29" s="17" t="str">
        <f t="shared" ref="P29:P30" si="18">IFERROR((((1-#REF!)*Q29)/$P$5/60), "")</f>
        <v/>
      </c>
      <c r="Q29" s="1"/>
      <c r="R29" s="14" t="s">
        <v>105</v>
      </c>
      <c r="S29" s="4" t="s">
        <v>0</v>
      </c>
      <c r="T29" s="1"/>
      <c r="U29" s="41"/>
      <c r="V29" s="41"/>
      <c r="W29" s="1"/>
    </row>
    <row r="30">
      <c r="A30" s="42" t="s">
        <v>107</v>
      </c>
      <c r="B30" s="43" t="s">
        <v>108</v>
      </c>
      <c r="C30" s="44">
        <v>1925.0</v>
      </c>
      <c r="D30" s="45"/>
      <c r="E30" s="45"/>
      <c r="F30" s="45"/>
      <c r="G30" s="45"/>
      <c r="H30" s="45"/>
      <c r="I30" s="45"/>
      <c r="J30" s="45"/>
      <c r="K30" s="45"/>
      <c r="L30" s="45"/>
      <c r="M30" s="15">
        <f t="shared" si="15"/>
        <v>0</v>
      </c>
      <c r="N30" s="16" t="str">
        <f t="shared" si="16"/>
        <v>#DIV/0!</v>
      </c>
      <c r="O30" s="17" t="str">
        <f t="shared" si="17"/>
        <v/>
      </c>
      <c r="P30" s="46" t="str">
        <f t="shared" si="18"/>
        <v/>
      </c>
      <c r="Q30" s="47">
        <v>250.0</v>
      </c>
      <c r="R30" s="48" t="s">
        <v>109</v>
      </c>
      <c r="S30" s="4" t="s">
        <v>0</v>
      </c>
      <c r="T30" s="43"/>
      <c r="U30" s="42"/>
      <c r="V30" s="42"/>
      <c r="W30" s="43"/>
    </row>
    <row r="31">
      <c r="A31" s="10" t="s">
        <v>110</v>
      </c>
      <c r="B31" s="1"/>
      <c r="C31" s="15"/>
      <c r="D31" s="15"/>
      <c r="E31" s="15">
        <v>6.0</v>
      </c>
      <c r="F31" s="15"/>
      <c r="G31" s="15">
        <v>6.0</v>
      </c>
      <c r="H31" s="15"/>
      <c r="I31" s="15"/>
      <c r="J31" s="15" t="s">
        <v>17</v>
      </c>
      <c r="K31" s="39" t="s">
        <v>111</v>
      </c>
      <c r="L31" s="15">
        <v>2088.0</v>
      </c>
      <c r="M31" s="15">
        <f t="shared" si="15"/>
        <v>2082</v>
      </c>
      <c r="N31" s="16"/>
      <c r="O31" s="17">
        <f t="shared" si="17"/>
        <v>0</v>
      </c>
      <c r="P31" s="17"/>
      <c r="Q31" s="10"/>
      <c r="R31" s="10"/>
      <c r="S31" s="4" t="s">
        <v>0</v>
      </c>
      <c r="T31" s="1"/>
      <c r="U31" s="40"/>
      <c r="V31" s="40"/>
      <c r="W31" s="1"/>
    </row>
    <row r="32">
      <c r="A32" s="40" t="s">
        <v>112</v>
      </c>
      <c r="B32" s="40" t="s">
        <v>113</v>
      </c>
      <c r="C32" s="29">
        <v>1890.0</v>
      </c>
      <c r="D32" s="2"/>
      <c r="E32" s="2"/>
      <c r="F32" s="2"/>
      <c r="G32" s="2"/>
      <c r="H32" s="2"/>
      <c r="I32" s="2"/>
      <c r="J32" s="2"/>
      <c r="K32" s="2"/>
      <c r="L32" s="2"/>
      <c r="M32" s="15">
        <f t="shared" si="15"/>
        <v>0</v>
      </c>
      <c r="N32" s="16" t="str">
        <f t="shared" ref="N32:N34" si="19">G32/L32</f>
        <v>#DIV/0!</v>
      </c>
      <c r="O32" s="17" t="str">
        <f t="shared" si="17"/>
        <v/>
      </c>
      <c r="P32" s="17" t="str">
        <f t="shared" ref="P32:P34" si="20">IFERROR((((1-#REF!)*Q32)/$P$5/60), "")</f>
        <v/>
      </c>
      <c r="Q32" s="1"/>
      <c r="R32" s="14" t="s">
        <v>122</v>
      </c>
      <c r="S32" s="4" t="s">
        <v>0</v>
      </c>
      <c r="T32" s="1"/>
      <c r="U32" s="40"/>
      <c r="V32" s="40"/>
      <c r="W32" s="1"/>
    </row>
    <row r="33">
      <c r="A33" s="40" t="s">
        <v>115</v>
      </c>
      <c r="B33" s="40"/>
      <c r="C33" s="2"/>
      <c r="D33" s="2"/>
      <c r="E33" s="2"/>
      <c r="F33" s="2"/>
      <c r="G33" s="2"/>
      <c r="H33" s="2"/>
      <c r="I33" s="2"/>
      <c r="J33" s="2"/>
      <c r="K33" s="2"/>
      <c r="L33" s="2"/>
      <c r="M33" s="15">
        <f t="shared" si="15"/>
        <v>0</v>
      </c>
      <c r="N33" s="16" t="str">
        <f t="shared" si="19"/>
        <v>#DIV/0!</v>
      </c>
      <c r="O33" s="17" t="str">
        <f t="shared" si="17"/>
        <v/>
      </c>
      <c r="P33" s="17" t="str">
        <f t="shared" si="20"/>
        <v/>
      </c>
      <c r="Q33" s="1"/>
      <c r="R33" s="14" t="s">
        <v>125</v>
      </c>
      <c r="S33" s="4" t="s">
        <v>0</v>
      </c>
      <c r="T33" s="1"/>
      <c r="U33" s="40"/>
      <c r="V33" s="40"/>
      <c r="W33" s="1"/>
    </row>
    <row r="34">
      <c r="A34" s="40" t="s">
        <v>117</v>
      </c>
      <c r="B34" s="40"/>
      <c r="C34" s="2"/>
      <c r="D34" s="2"/>
      <c r="E34" s="2"/>
      <c r="F34" s="2"/>
      <c r="G34" s="2"/>
      <c r="H34" s="2"/>
      <c r="I34" s="2"/>
      <c r="J34" s="2"/>
      <c r="K34" s="2"/>
      <c r="L34" s="2"/>
      <c r="M34" s="15">
        <f t="shared" si="15"/>
        <v>0</v>
      </c>
      <c r="N34" s="16" t="str">
        <f t="shared" si="19"/>
        <v>#DIV/0!</v>
      </c>
      <c r="O34" s="17" t="str">
        <f t="shared" si="17"/>
        <v/>
      </c>
      <c r="P34" s="17" t="str">
        <f t="shared" si="20"/>
        <v/>
      </c>
      <c r="Q34" s="1"/>
      <c r="R34" s="14" t="s">
        <v>128</v>
      </c>
      <c r="S34" s="4" t="s">
        <v>0</v>
      </c>
      <c r="T34" s="1"/>
      <c r="U34" s="1"/>
      <c r="V34" s="1"/>
      <c r="W34" s="1"/>
    </row>
    <row r="35">
      <c r="A35" s="20"/>
      <c r="B35" s="41"/>
      <c r="C35" s="49"/>
      <c r="D35" s="49"/>
      <c r="E35" s="49"/>
      <c r="G35" s="49"/>
      <c r="H35" s="49"/>
      <c r="I35" s="49"/>
      <c r="J35" s="49"/>
      <c r="K35" s="49"/>
      <c r="L35" s="49"/>
      <c r="M35" s="15"/>
      <c r="N35" s="16"/>
      <c r="O35" s="17"/>
      <c r="P35" s="17"/>
      <c r="Q35" s="41"/>
      <c r="R35" s="1"/>
      <c r="S35" s="4" t="s">
        <v>0</v>
      </c>
      <c r="T35" s="1"/>
      <c r="U35" s="1"/>
      <c r="V35" s="1"/>
      <c r="W35" s="1"/>
    </row>
    <row r="36">
      <c r="A36" s="20" t="s">
        <v>119</v>
      </c>
      <c r="B36" s="41"/>
      <c r="C36" s="49"/>
      <c r="D36" s="49"/>
      <c r="E36" s="49"/>
      <c r="G36" s="49"/>
      <c r="H36" s="49"/>
      <c r="I36" s="49"/>
      <c r="J36" s="49"/>
      <c r="K36" s="49"/>
      <c r="L36" s="49"/>
      <c r="M36" s="15"/>
      <c r="N36" s="16"/>
      <c r="O36" s="17"/>
      <c r="P36" s="17"/>
      <c r="Q36" s="41"/>
      <c r="R36" s="1"/>
      <c r="S36" s="4" t="s">
        <v>0</v>
      </c>
      <c r="T36" s="1"/>
      <c r="U36" s="1"/>
      <c r="V36" s="1"/>
      <c r="W36" s="1"/>
    </row>
    <row r="37">
      <c r="A37" s="40" t="s">
        <v>120</v>
      </c>
      <c r="B37" s="50" t="s">
        <v>121</v>
      </c>
      <c r="C37" s="29">
        <v>1892.0</v>
      </c>
      <c r="D37" s="50"/>
      <c r="E37" s="50"/>
      <c r="F37" s="50"/>
      <c r="G37" s="50"/>
      <c r="H37" s="50"/>
      <c r="I37" s="50"/>
      <c r="J37" s="50"/>
      <c r="K37" s="50"/>
      <c r="L37" s="50"/>
      <c r="M37" s="15"/>
      <c r="N37" s="16" t="str">
        <f t="shared" ref="N37:N39" si="21">G37/L37</f>
        <v>#DIV/0!</v>
      </c>
      <c r="O37" s="17" t="str">
        <f>(((1-N37)*Q37)*1000)/$O$5/60</f>
        <v>#DIV/0!</v>
      </c>
      <c r="P37" s="17" t="str">
        <f t="shared" ref="P37:P39" si="22">IFERROR((((1-#REF!)*Q37)/$P$5/60), "")</f>
        <v/>
      </c>
      <c r="Q37" s="12">
        <v>90.0</v>
      </c>
      <c r="R37" s="10" t="s">
        <v>123</v>
      </c>
      <c r="S37" s="4" t="s">
        <v>0</v>
      </c>
      <c r="T37" s="1"/>
      <c r="U37" s="1"/>
      <c r="V37" s="1"/>
      <c r="W37" s="1"/>
    </row>
    <row r="38">
      <c r="A38" s="40" t="s">
        <v>124</v>
      </c>
      <c r="B38" s="50" t="s">
        <v>121</v>
      </c>
      <c r="C38" s="29">
        <v>1902.0</v>
      </c>
      <c r="D38" s="50"/>
      <c r="E38" s="50"/>
      <c r="F38" s="50"/>
      <c r="G38" s="50"/>
      <c r="H38" s="50"/>
      <c r="I38" s="50"/>
      <c r="J38" s="50"/>
      <c r="K38" s="50"/>
      <c r="L38" s="50"/>
      <c r="M38" s="15"/>
      <c r="N38" s="16" t="str">
        <f t="shared" si="21"/>
        <v>#DIV/0!</v>
      </c>
      <c r="O38" s="17" t="str">
        <f t="shared" ref="O38:O39" si="23">IFERROR(((1-#REF!)*(Q38*1000))/$O$5/60, "")
</f>
        <v/>
      </c>
      <c r="P38" s="17" t="str">
        <f t="shared" si="22"/>
        <v/>
      </c>
      <c r="Q38" s="12">
        <v>98.0</v>
      </c>
      <c r="R38" s="10" t="s">
        <v>123</v>
      </c>
      <c r="S38" s="4" t="s">
        <v>0</v>
      </c>
      <c r="T38" s="1"/>
      <c r="U38" s="1"/>
      <c r="V38" s="1"/>
      <c r="W38" s="1"/>
    </row>
    <row r="39">
      <c r="A39" s="40" t="s">
        <v>126</v>
      </c>
      <c r="B39" s="10" t="s">
        <v>127</v>
      </c>
      <c r="C39" s="29">
        <v>1882.0</v>
      </c>
      <c r="D39" s="50"/>
      <c r="E39" s="50">
        <v>4.0</v>
      </c>
      <c r="F39" s="50"/>
      <c r="G39" s="50">
        <v>4.0</v>
      </c>
      <c r="H39" s="50"/>
      <c r="I39" s="50"/>
      <c r="J39" s="50"/>
      <c r="K39" s="50"/>
      <c r="L39" s="50">
        <v>107.0</v>
      </c>
      <c r="M39" s="15"/>
      <c r="N39" s="16">
        <f t="shared" si="21"/>
        <v>0.03738317757</v>
      </c>
      <c r="O39" s="17" t="str">
        <f t="shared" si="23"/>
        <v/>
      </c>
      <c r="P39" s="17" t="str">
        <f t="shared" si="22"/>
        <v/>
      </c>
      <c r="Q39" s="51">
        <v>25.0</v>
      </c>
      <c r="R39" s="10" t="s">
        <v>123</v>
      </c>
      <c r="S39" s="4" t="s">
        <v>0</v>
      </c>
      <c r="T39" s="1"/>
      <c r="U39" s="1"/>
      <c r="V39" s="1"/>
      <c r="W39" s="1"/>
    </row>
    <row r="40">
      <c r="A40" s="40"/>
      <c r="B40" s="40"/>
      <c r="C40" s="50"/>
      <c r="D40" s="50"/>
      <c r="E40" s="50"/>
      <c r="F40" s="50"/>
      <c r="G40" s="50"/>
      <c r="H40" s="50"/>
      <c r="I40" s="50"/>
      <c r="J40" s="50"/>
      <c r="K40" s="50"/>
      <c r="L40" s="50"/>
      <c r="M40" s="50"/>
      <c r="N40" s="52"/>
      <c r="O40" s="53"/>
      <c r="P40" s="53"/>
      <c r="Q40" s="40"/>
      <c r="R40" s="1"/>
      <c r="S40" s="4" t="s">
        <v>0</v>
      </c>
      <c r="T40" s="1"/>
      <c r="U40" s="1"/>
      <c r="V40" s="1"/>
      <c r="W40" s="1"/>
    </row>
    <row r="41">
      <c r="A41" s="20" t="s">
        <v>129</v>
      </c>
      <c r="B41" s="1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3"/>
      <c r="O41" s="54"/>
      <c r="P41" s="54"/>
      <c r="Q41" s="1"/>
      <c r="R41" s="1"/>
      <c r="S41" s="4" t="s">
        <v>0</v>
      </c>
      <c r="T41" s="1"/>
      <c r="U41" s="1"/>
      <c r="V41" s="1"/>
      <c r="W41" s="1"/>
    </row>
    <row r="42">
      <c r="A42" s="40" t="s">
        <v>130</v>
      </c>
      <c r="B42" s="1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3"/>
      <c r="O42" s="54"/>
      <c r="P42" s="54"/>
      <c r="Q42" s="1"/>
      <c r="R42" s="1"/>
      <c r="S42" s="4" t="s">
        <v>0</v>
      </c>
      <c r="T42" s="1"/>
      <c r="U42" s="1"/>
      <c r="V42" s="1"/>
      <c r="W42" s="1"/>
    </row>
    <row r="43">
      <c r="A43" s="32" t="s">
        <v>131</v>
      </c>
      <c r="B43" s="1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3"/>
      <c r="O43" s="54"/>
      <c r="P43" s="54"/>
      <c r="Q43" s="1"/>
      <c r="R43" s="1"/>
      <c r="S43" s="4" t="s">
        <v>0</v>
      </c>
      <c r="T43" s="1"/>
      <c r="U43" s="1"/>
      <c r="V43" s="1"/>
      <c r="W43" s="1"/>
    </row>
    <row r="44">
      <c r="A44" s="32" t="s">
        <v>132</v>
      </c>
      <c r="B44" s="1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3"/>
      <c r="O44" s="54"/>
      <c r="P44" s="54"/>
      <c r="Q44" s="1"/>
      <c r="R44" s="1"/>
      <c r="S44" s="4" t="s">
        <v>0</v>
      </c>
      <c r="T44" s="1"/>
      <c r="U44" s="1"/>
      <c r="V44" s="1"/>
      <c r="W44" s="1"/>
    </row>
    <row r="45">
      <c r="A45" s="32" t="s">
        <v>133</v>
      </c>
      <c r="B45" s="25"/>
      <c r="C45" s="55"/>
      <c r="D45" s="55"/>
      <c r="E45" s="55"/>
      <c r="F45" s="55"/>
      <c r="G45" s="55"/>
      <c r="H45" s="55"/>
      <c r="I45" s="55"/>
      <c r="J45" s="55"/>
      <c r="K45" s="55"/>
      <c r="L45" s="55"/>
      <c r="M45" s="55"/>
      <c r="N45" s="56"/>
      <c r="O45" s="57"/>
      <c r="P45" s="57"/>
      <c r="Q45" s="25"/>
      <c r="R45" s="1"/>
      <c r="S45" s="4" t="s">
        <v>0</v>
      </c>
      <c r="T45" s="1"/>
      <c r="U45" s="1"/>
      <c r="V45" s="1"/>
      <c r="W45" s="1"/>
    </row>
    <row r="46">
      <c r="A46" s="32" t="s">
        <v>134</v>
      </c>
      <c r="B46" s="25"/>
      <c r="C46" s="55"/>
      <c r="D46" s="55"/>
      <c r="E46" s="55"/>
      <c r="F46" s="55"/>
      <c r="G46" s="55"/>
      <c r="H46" s="55"/>
      <c r="I46" s="55"/>
      <c r="J46" s="55"/>
      <c r="K46" s="55"/>
      <c r="L46" s="55"/>
      <c r="M46" s="55"/>
      <c r="N46" s="56"/>
      <c r="O46" s="57"/>
      <c r="P46" s="57"/>
      <c r="Q46" s="25"/>
      <c r="R46" s="1"/>
      <c r="S46" s="4" t="s">
        <v>0</v>
      </c>
      <c r="T46" s="1"/>
      <c r="U46" s="1"/>
      <c r="V46" s="1"/>
      <c r="W46" s="1"/>
    </row>
    <row r="47">
      <c r="A47" s="25"/>
      <c r="B47" s="25"/>
      <c r="C47" s="50"/>
      <c r="D47" s="50"/>
      <c r="E47" s="50"/>
      <c r="F47" s="50"/>
      <c r="G47" s="50"/>
      <c r="H47" s="50"/>
      <c r="I47" s="50"/>
      <c r="J47" s="50"/>
      <c r="K47" s="50"/>
      <c r="L47" s="50"/>
      <c r="M47" s="50"/>
      <c r="N47" s="52"/>
      <c r="O47" s="57"/>
      <c r="P47" s="57"/>
      <c r="Q47" s="40"/>
      <c r="R47" s="1"/>
      <c r="S47" s="4" t="s">
        <v>0</v>
      </c>
      <c r="T47" s="1"/>
      <c r="U47" s="1"/>
      <c r="V47" s="1"/>
      <c r="W47" s="1"/>
    </row>
    <row r="48">
      <c r="A48" s="40"/>
      <c r="B48" s="40"/>
      <c r="C48" s="50"/>
      <c r="D48" s="50"/>
      <c r="E48" s="50"/>
      <c r="F48" s="50"/>
      <c r="G48" s="50"/>
      <c r="H48" s="50"/>
      <c r="I48" s="50"/>
      <c r="J48" s="50"/>
      <c r="K48" s="50"/>
      <c r="L48" s="50"/>
      <c r="M48" s="50"/>
      <c r="N48" s="52"/>
      <c r="O48" s="53"/>
      <c r="P48" s="53"/>
      <c r="Q48" s="40"/>
      <c r="R48" s="1"/>
      <c r="S48" s="4" t="s">
        <v>0</v>
      </c>
      <c r="T48" s="1"/>
      <c r="U48" s="1"/>
      <c r="V48" s="1"/>
      <c r="W48" s="1"/>
    </row>
    <row r="49">
      <c r="A49" s="40"/>
      <c r="B49" s="40"/>
      <c r="C49" s="50"/>
      <c r="D49" s="50"/>
      <c r="E49" s="50"/>
      <c r="F49" s="50"/>
      <c r="G49" s="50"/>
      <c r="H49" s="50"/>
      <c r="I49" s="50"/>
      <c r="J49" s="50"/>
      <c r="K49" s="50"/>
      <c r="L49" s="50"/>
      <c r="M49" s="58"/>
      <c r="N49" s="59"/>
      <c r="O49" s="53"/>
      <c r="P49" s="53"/>
      <c r="Q49" s="51"/>
      <c r="R49" s="1"/>
      <c r="S49" s="4" t="s">
        <v>0</v>
      </c>
      <c r="T49" s="1"/>
      <c r="U49" s="1"/>
      <c r="V49" s="1"/>
      <c r="W49" s="1"/>
    </row>
    <row r="50">
      <c r="A50" s="40"/>
      <c r="B50" s="40"/>
      <c r="C50" s="50"/>
      <c r="D50" s="50"/>
      <c r="E50" s="50"/>
      <c r="F50" s="50"/>
      <c r="G50" s="50"/>
      <c r="H50" s="50"/>
      <c r="I50" s="50"/>
      <c r="J50" s="50"/>
      <c r="K50" s="50"/>
      <c r="L50" s="50"/>
      <c r="M50" s="50"/>
      <c r="N50" s="52"/>
      <c r="O50" s="53"/>
      <c r="P50" s="53"/>
      <c r="Q50" s="40"/>
      <c r="R50" s="1"/>
      <c r="S50" s="4" t="s">
        <v>0</v>
      </c>
      <c r="T50" s="1"/>
      <c r="U50" s="1"/>
      <c r="V50" s="1"/>
      <c r="W50" s="1"/>
    </row>
    <row r="51">
      <c r="A51" s="40"/>
      <c r="B51" s="40"/>
      <c r="C51" s="50"/>
      <c r="D51" s="50"/>
      <c r="E51" s="50"/>
      <c r="F51" s="50"/>
      <c r="G51" s="50"/>
      <c r="H51" s="50"/>
      <c r="I51" s="50"/>
      <c r="J51" s="50"/>
      <c r="K51" s="50"/>
      <c r="L51" s="50"/>
      <c r="M51" s="50"/>
      <c r="N51" s="52"/>
      <c r="O51" s="53"/>
      <c r="P51" s="53"/>
      <c r="Q51" s="40"/>
      <c r="R51" s="1"/>
      <c r="S51" s="1"/>
      <c r="T51" s="1"/>
      <c r="U51" s="1"/>
      <c r="V51" s="1"/>
      <c r="W51" s="1"/>
    </row>
    <row r="52">
      <c r="A52" s="1"/>
      <c r="B52" s="1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3"/>
      <c r="O52" s="54"/>
      <c r="P52" s="54"/>
      <c r="Q52" s="1"/>
      <c r="R52" s="1"/>
      <c r="S52" s="1"/>
      <c r="T52" s="1"/>
      <c r="U52" s="1"/>
      <c r="V52" s="1"/>
      <c r="W52" s="1"/>
    </row>
    <row r="53">
      <c r="A53" s="1"/>
      <c r="B53" s="1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3"/>
      <c r="O53" s="54"/>
      <c r="P53" s="54"/>
      <c r="Q53" s="1"/>
      <c r="R53" s="1"/>
      <c r="S53" s="1"/>
      <c r="T53" s="1"/>
      <c r="U53" s="1"/>
      <c r="V53" s="1"/>
      <c r="W53" s="1"/>
    </row>
    <row r="54">
      <c r="A54" s="1"/>
      <c r="B54" s="1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3"/>
      <c r="O54" s="54"/>
      <c r="P54" s="54"/>
      <c r="Q54" s="1"/>
      <c r="R54" s="1"/>
      <c r="S54" s="1"/>
      <c r="T54" s="1"/>
      <c r="U54" s="1"/>
      <c r="V54" s="1"/>
      <c r="W54" s="1"/>
    </row>
    <row r="55">
      <c r="A55" s="1"/>
      <c r="B55" s="1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3"/>
      <c r="O55" s="54"/>
      <c r="P55" s="54"/>
      <c r="Q55" s="1"/>
      <c r="R55" s="1"/>
      <c r="S55" s="1"/>
      <c r="T55" s="1"/>
      <c r="U55" s="1"/>
      <c r="V55" s="1"/>
      <c r="W55" s="1"/>
    </row>
    <row r="56">
      <c r="A56" s="1"/>
      <c r="B56" s="1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3"/>
      <c r="O56" s="54"/>
      <c r="P56" s="54"/>
      <c r="Q56" s="1"/>
      <c r="R56" s="1"/>
      <c r="S56" s="1"/>
      <c r="T56" s="1"/>
      <c r="U56" s="1"/>
      <c r="V56" s="1"/>
      <c r="W56" s="1"/>
    </row>
    <row r="57">
      <c r="A57" s="1"/>
      <c r="B57" s="1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3"/>
      <c r="O57" s="54"/>
      <c r="P57" s="54"/>
      <c r="Q57" s="1"/>
      <c r="R57" s="1"/>
      <c r="S57" s="1"/>
      <c r="T57" s="1"/>
      <c r="U57" s="1"/>
      <c r="V57" s="1"/>
      <c r="W57" s="1"/>
    </row>
    <row r="58">
      <c r="A58" s="1"/>
      <c r="B58" s="1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3"/>
      <c r="O58" s="54"/>
      <c r="P58" s="54"/>
      <c r="Q58" s="1"/>
      <c r="R58" s="1"/>
      <c r="S58" s="1"/>
      <c r="T58" s="1"/>
      <c r="U58" s="1"/>
      <c r="V58" s="1"/>
      <c r="W58" s="1"/>
    </row>
    <row r="59">
      <c r="A59" s="1"/>
      <c r="B59" s="1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3"/>
      <c r="O59" s="54"/>
      <c r="P59" s="54"/>
      <c r="Q59" s="1"/>
      <c r="R59" s="1"/>
      <c r="S59" s="1"/>
      <c r="T59" s="1"/>
      <c r="U59" s="1"/>
      <c r="V59" s="1"/>
      <c r="W59" s="1"/>
    </row>
    <row r="60">
      <c r="A60" s="1"/>
      <c r="B60" s="1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3"/>
      <c r="O60" s="54"/>
      <c r="P60" s="54"/>
      <c r="Q60" s="1"/>
      <c r="R60" s="1"/>
      <c r="S60" s="1"/>
      <c r="T60" s="1"/>
      <c r="U60" s="1"/>
      <c r="V60" s="1"/>
      <c r="W60" s="1"/>
    </row>
  </sheetData>
  <hyperlinks>
    <hyperlink r:id="rId1" ref="A6"/>
    <hyperlink r:id="rId2" ref="A8"/>
    <hyperlink r:id="rId3" ref="J14"/>
    <hyperlink r:id="rId4" ref="K14"/>
    <hyperlink r:id="rId5" ref="R14"/>
    <hyperlink r:id="rId6" ref="J15"/>
    <hyperlink r:id="rId7" ref="K15"/>
    <hyperlink r:id="rId8" ref="R15"/>
    <hyperlink r:id="rId9" ref="J17"/>
    <hyperlink r:id="rId10" ref="K17"/>
    <hyperlink r:id="rId11" ref="R17"/>
    <hyperlink r:id="rId12" ref="J18"/>
    <hyperlink r:id="rId13" ref="K18"/>
    <hyperlink r:id="rId14" ref="R18"/>
    <hyperlink r:id="rId15" ref="K19"/>
    <hyperlink r:id="rId16" ref="J20"/>
    <hyperlink r:id="rId17" ref="K20"/>
    <hyperlink r:id="rId18" ref="K22"/>
    <hyperlink r:id="rId19" ref="R22"/>
    <hyperlink r:id="rId20" ref="K23"/>
    <hyperlink r:id="rId21" ref="R23"/>
    <hyperlink r:id="rId22" ref="R25"/>
    <hyperlink r:id="rId23" ref="K26"/>
    <hyperlink r:id="rId24" ref="K27"/>
    <hyperlink r:id="rId25" ref="R27"/>
    <hyperlink r:id="rId26" ref="K29"/>
    <hyperlink r:id="rId27" ref="R29"/>
    <hyperlink r:id="rId28" ref="R30"/>
    <hyperlink r:id="rId29" ref="K31"/>
    <hyperlink r:id="rId30" ref="R32"/>
    <hyperlink r:id="rId31" ref="R33"/>
    <hyperlink r:id="rId32" ref="R34"/>
  </hyperlinks>
  <drawing r:id="rId3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63"/>
    <col customWidth="1" min="2" max="2" width="9.0"/>
    <col customWidth="1" min="3" max="3" width="5.5"/>
    <col customWidth="1" min="4" max="4" width="2.13"/>
    <col customWidth="1" min="5" max="5" width="4.13"/>
    <col customWidth="1" min="6" max="6" width="4.88"/>
    <col customWidth="1" min="7" max="7" width="4.0"/>
    <col customWidth="1" min="8" max="8" width="2.25"/>
    <col customWidth="1" min="9" max="9" width="5.0"/>
    <col customWidth="1" min="10" max="10" width="4.38"/>
    <col customWidth="1" min="11" max="11" width="5.5"/>
    <col customWidth="1" min="12" max="12" width="5.88"/>
    <col customWidth="1" min="13" max="13" width="5.25"/>
    <col customWidth="1" min="14" max="15" width="6.5"/>
    <col customWidth="1" min="16" max="16" width="5.88"/>
    <col customWidth="1" min="17" max="17" width="5.75"/>
  </cols>
  <sheetData>
    <row r="1">
      <c r="A1" s="1"/>
      <c r="B1" s="1"/>
      <c r="C1" s="2"/>
      <c r="D1" s="2"/>
      <c r="E1" s="2"/>
      <c r="F1" s="2"/>
      <c r="G1" s="2"/>
      <c r="H1" s="2"/>
      <c r="I1" s="2"/>
      <c r="J1" s="2"/>
      <c r="K1" s="2"/>
      <c r="L1" s="2"/>
      <c r="M1" s="3"/>
      <c r="N1" s="5" t="s">
        <v>1</v>
      </c>
      <c r="O1" s="5" t="s">
        <v>1</v>
      </c>
      <c r="P1" s="1"/>
      <c r="Q1" s="1"/>
      <c r="R1" s="4" t="s">
        <v>0</v>
      </c>
      <c r="S1" s="7"/>
      <c r="T1" s="1"/>
      <c r="U1" s="1"/>
      <c r="V1" s="1"/>
    </row>
    <row r="2">
      <c r="A2" s="1"/>
      <c r="B2" s="1"/>
      <c r="C2" s="2"/>
      <c r="D2" s="2"/>
      <c r="E2" s="2"/>
      <c r="F2" s="2"/>
      <c r="G2" s="2"/>
      <c r="H2" s="2"/>
      <c r="I2" s="2"/>
      <c r="J2" s="2"/>
      <c r="K2" s="2"/>
      <c r="L2" s="2"/>
      <c r="M2" s="3"/>
      <c r="N2" s="5" t="s">
        <v>5</v>
      </c>
      <c r="O2" s="5" t="s">
        <v>6</v>
      </c>
      <c r="P2" s="1"/>
      <c r="Q2" s="1"/>
      <c r="R2" s="4" t="s">
        <v>0</v>
      </c>
      <c r="S2" s="7"/>
      <c r="T2" s="1"/>
      <c r="U2" s="1"/>
      <c r="V2" s="1"/>
    </row>
    <row r="3">
      <c r="A3" s="1"/>
      <c r="B3" s="1"/>
      <c r="C3" s="2"/>
      <c r="D3" s="2"/>
      <c r="E3" s="2"/>
      <c r="F3" s="2"/>
      <c r="G3" s="2"/>
      <c r="H3" s="2"/>
      <c r="I3" s="2"/>
      <c r="J3" s="2"/>
      <c r="K3" s="2"/>
      <c r="L3" s="2"/>
      <c r="M3" s="3"/>
      <c r="N3" s="5" t="s">
        <v>7</v>
      </c>
      <c r="O3" s="5" t="s">
        <v>7</v>
      </c>
      <c r="P3" s="1"/>
      <c r="Q3" s="1"/>
      <c r="R3" s="4" t="s">
        <v>0</v>
      </c>
      <c r="S3" s="7"/>
      <c r="T3" s="1"/>
      <c r="U3" s="1"/>
      <c r="V3" s="1"/>
    </row>
    <row r="4">
      <c r="A4" s="1"/>
      <c r="B4" s="1"/>
      <c r="C4" s="2"/>
      <c r="D4" s="2"/>
      <c r="E4" s="2"/>
      <c r="F4" s="2"/>
      <c r="G4" s="2"/>
      <c r="H4" s="2"/>
      <c r="I4" s="2"/>
      <c r="J4" s="2"/>
      <c r="K4" s="2"/>
      <c r="L4" s="2"/>
      <c r="M4" s="3"/>
      <c r="N4" s="5" t="s">
        <v>8</v>
      </c>
      <c r="O4" s="5" t="s">
        <v>8</v>
      </c>
      <c r="P4" s="1"/>
      <c r="Q4" s="1"/>
      <c r="R4" s="4" t="s">
        <v>0</v>
      </c>
      <c r="S4" s="7"/>
      <c r="T4" s="1"/>
      <c r="U4" s="1"/>
      <c r="V4" s="1"/>
    </row>
    <row r="5">
      <c r="A5" s="1"/>
      <c r="B5" s="10"/>
      <c r="C5" s="2"/>
      <c r="D5" s="2"/>
      <c r="E5" s="2"/>
      <c r="F5" s="2"/>
      <c r="G5" s="2"/>
      <c r="H5" s="2"/>
      <c r="I5" s="2"/>
      <c r="J5" s="2"/>
      <c r="K5" s="2"/>
      <c r="L5" s="2"/>
      <c r="M5" s="3"/>
      <c r="N5" s="10">
        <v>150.0</v>
      </c>
      <c r="O5" s="12">
        <v>300.0</v>
      </c>
      <c r="P5" s="1"/>
      <c r="Q5" s="1"/>
      <c r="R5" s="4" t="s">
        <v>0</v>
      </c>
      <c r="S5" s="7"/>
      <c r="T5" s="1"/>
      <c r="U5" s="1"/>
      <c r="V5" s="1"/>
    </row>
    <row r="6">
      <c r="A6" s="14" t="s">
        <v>16</v>
      </c>
      <c r="B6" s="1"/>
      <c r="C6" s="15"/>
      <c r="D6" s="15"/>
      <c r="E6" s="15"/>
      <c r="F6" s="15"/>
      <c r="G6" s="15"/>
      <c r="H6" s="15"/>
      <c r="I6" s="15"/>
      <c r="J6" s="15"/>
      <c r="K6" s="15"/>
      <c r="L6" s="15"/>
      <c r="M6" s="16"/>
      <c r="N6" s="17"/>
      <c r="O6" s="17"/>
      <c r="P6" s="10"/>
      <c r="Q6" s="1"/>
      <c r="R6" s="4" t="s">
        <v>0</v>
      </c>
      <c r="S6" s="7"/>
      <c r="T6" s="1"/>
      <c r="U6" s="1"/>
      <c r="V6" s="1"/>
    </row>
    <row r="7">
      <c r="A7" s="1"/>
      <c r="B7" s="1"/>
      <c r="C7" s="15"/>
      <c r="D7" s="15"/>
      <c r="E7" s="15"/>
      <c r="F7" s="15"/>
      <c r="G7" s="15"/>
      <c r="H7" s="15"/>
      <c r="I7" s="15"/>
      <c r="J7" s="15"/>
      <c r="K7" s="15"/>
      <c r="L7" s="15"/>
      <c r="M7" s="16"/>
      <c r="N7" s="5" t="s">
        <v>24</v>
      </c>
      <c r="O7" s="5" t="s">
        <v>24</v>
      </c>
      <c r="P7" s="10"/>
      <c r="Q7" s="1"/>
      <c r="R7" s="4" t="s">
        <v>0</v>
      </c>
      <c r="S7" s="7"/>
      <c r="T7" s="1"/>
      <c r="U7" s="1"/>
      <c r="V7" s="1"/>
    </row>
    <row r="8">
      <c r="A8" s="14" t="s">
        <v>16</v>
      </c>
      <c r="B8" s="1"/>
      <c r="C8" s="15"/>
      <c r="D8" s="15"/>
      <c r="E8" s="15"/>
      <c r="F8" s="15"/>
      <c r="G8" s="15"/>
      <c r="H8" s="15"/>
      <c r="I8" s="15"/>
      <c r="J8" s="15"/>
      <c r="K8" s="15"/>
      <c r="L8" s="15"/>
      <c r="M8" s="16"/>
      <c r="N8" s="17" t="str">
        <f>sum(N20:N59)</f>
        <v>#DIV/0!</v>
      </c>
      <c r="O8" s="17">
        <f>sum(O26:O59)</f>
        <v>0</v>
      </c>
      <c r="P8" s="10"/>
      <c r="Q8" s="20" t="s">
        <v>28</v>
      </c>
      <c r="R8" s="4" t="s">
        <v>0</v>
      </c>
      <c r="S8" s="7"/>
      <c r="T8" s="1"/>
      <c r="U8" s="1"/>
      <c r="V8" s="1"/>
    </row>
    <row r="9">
      <c r="A9" s="1"/>
      <c r="B9" s="1"/>
      <c r="C9" s="21"/>
      <c r="D9" s="21"/>
      <c r="E9" s="15"/>
      <c r="F9" s="21"/>
      <c r="G9" s="15"/>
      <c r="H9" s="15"/>
      <c r="I9" s="15"/>
      <c r="J9" s="15"/>
      <c r="K9" s="2"/>
      <c r="L9" s="15"/>
      <c r="M9" s="16"/>
      <c r="N9" s="5" t="s">
        <v>29</v>
      </c>
      <c r="O9" s="5" t="s">
        <v>6</v>
      </c>
      <c r="P9" s="20" t="s">
        <v>24</v>
      </c>
      <c r="Q9" s="20" t="s">
        <v>30</v>
      </c>
      <c r="R9" s="4" t="s">
        <v>0</v>
      </c>
      <c r="S9" s="1"/>
      <c r="T9" s="1"/>
      <c r="U9" s="1"/>
      <c r="V9" s="1"/>
    </row>
    <row r="10">
      <c r="A10" s="22"/>
      <c r="B10" s="22"/>
      <c r="C10" s="21" t="s">
        <v>4</v>
      </c>
      <c r="D10" s="23"/>
      <c r="E10" s="21"/>
      <c r="F10" s="23"/>
      <c r="G10" s="21"/>
      <c r="H10" s="21"/>
      <c r="I10" s="21"/>
      <c r="J10" s="21"/>
      <c r="K10" s="21" t="s">
        <v>24</v>
      </c>
      <c r="L10" s="21" t="s">
        <v>34</v>
      </c>
      <c r="M10" s="24" t="s">
        <v>35</v>
      </c>
      <c r="N10" s="5" t="s">
        <v>36</v>
      </c>
      <c r="O10" s="5" t="s">
        <v>36</v>
      </c>
      <c r="P10" s="20" t="s">
        <v>1</v>
      </c>
      <c r="Q10" s="20" t="s">
        <v>37</v>
      </c>
      <c r="R10" s="4" t="s">
        <v>0</v>
      </c>
      <c r="S10" s="22"/>
      <c r="T10" s="25"/>
      <c r="U10" s="25"/>
      <c r="V10" s="22"/>
    </row>
    <row r="11">
      <c r="A11" s="20" t="s">
        <v>41</v>
      </c>
      <c r="B11" s="20" t="s">
        <v>10</v>
      </c>
      <c r="C11" s="21" t="s">
        <v>11</v>
      </c>
      <c r="D11" s="27"/>
      <c r="E11" s="21" t="s">
        <v>44</v>
      </c>
      <c r="F11" s="27" t="s">
        <v>46</v>
      </c>
      <c r="G11" s="21" t="s">
        <v>47</v>
      </c>
      <c r="H11" s="21"/>
      <c r="I11" s="21" t="s">
        <v>29</v>
      </c>
      <c r="J11" s="21" t="s">
        <v>48</v>
      </c>
      <c r="K11" s="21" t="s">
        <v>34</v>
      </c>
      <c r="L11" s="21" t="s">
        <v>49</v>
      </c>
      <c r="M11" s="24" t="s">
        <v>50</v>
      </c>
      <c r="N11" s="5" t="s">
        <v>49</v>
      </c>
      <c r="O11" s="5" t="s">
        <v>49</v>
      </c>
      <c r="P11" s="20" t="s">
        <v>51</v>
      </c>
      <c r="Q11" s="20" t="s">
        <v>13</v>
      </c>
      <c r="R11" s="4" t="s">
        <v>0</v>
      </c>
      <c r="S11" s="22"/>
      <c r="T11" s="25"/>
      <c r="U11" s="25"/>
      <c r="V11" s="22"/>
    </row>
    <row r="12">
      <c r="A12" s="20" t="s">
        <v>52</v>
      </c>
      <c r="B12" s="4"/>
      <c r="C12" s="4"/>
      <c r="D12" s="4"/>
      <c r="E12" s="4"/>
      <c r="F12" s="4"/>
      <c r="G12" s="4"/>
      <c r="H12" s="4"/>
      <c r="I12" s="4"/>
      <c r="J12" s="28"/>
      <c r="K12" s="4"/>
      <c r="L12" s="15"/>
      <c r="M12" s="16"/>
      <c r="N12" s="17"/>
      <c r="P12" s="4"/>
      <c r="R12" s="4" t="s">
        <v>0</v>
      </c>
    </row>
    <row r="13">
      <c r="A13" s="4" t="s">
        <v>54</v>
      </c>
      <c r="B13" s="4" t="s">
        <v>55</v>
      </c>
      <c r="C13" s="4">
        <v>1856.0</v>
      </c>
      <c r="D13" s="4"/>
      <c r="E13" s="4">
        <v>9.0</v>
      </c>
      <c r="F13" s="4">
        <v>234.0</v>
      </c>
      <c r="G13" s="4">
        <v>30.0</v>
      </c>
      <c r="H13" s="4"/>
      <c r="I13" s="26" t="s">
        <v>56</v>
      </c>
      <c r="J13" s="38" t="s">
        <v>57</v>
      </c>
      <c r="K13" s="4">
        <v>360.0</v>
      </c>
      <c r="L13" s="15">
        <f t="shared" ref="L13:L14" si="1">K13-F13</f>
        <v>126</v>
      </c>
      <c r="M13" s="16">
        <f t="shared" ref="M13:M14" si="2">F13/K13</f>
        <v>0.65</v>
      </c>
      <c r="N13" s="17">
        <f t="shared" ref="N13:N14" si="3">IFERROR((((1-M13)*P13)*1000)/$N$5/60, "")</f>
        <v>6.494444444</v>
      </c>
      <c r="P13" s="4">
        <v>167.0</v>
      </c>
      <c r="Q13" s="26" t="s">
        <v>59</v>
      </c>
      <c r="R13" s="4" t="s">
        <v>0</v>
      </c>
    </row>
    <row r="14">
      <c r="A14" s="10" t="s">
        <v>60</v>
      </c>
      <c r="B14" s="10" t="s">
        <v>61</v>
      </c>
      <c r="C14" s="29">
        <v>1919.0</v>
      </c>
      <c r="D14" s="15"/>
      <c r="E14" s="15">
        <v>1.0</v>
      </c>
      <c r="F14" s="15">
        <v>25.0</v>
      </c>
      <c r="G14" s="15">
        <v>35.0</v>
      </c>
      <c r="H14" s="15"/>
      <c r="I14" s="39" t="s">
        <v>62</v>
      </c>
      <c r="J14" s="39" t="s">
        <v>63</v>
      </c>
      <c r="K14" s="15">
        <v>439.0</v>
      </c>
      <c r="L14" s="15">
        <f t="shared" si="1"/>
        <v>414</v>
      </c>
      <c r="M14" s="16">
        <f t="shared" si="2"/>
        <v>0.0569476082</v>
      </c>
      <c r="N14" s="17">
        <f t="shared" si="3"/>
        <v>12.57403189</v>
      </c>
      <c r="O14" s="17" t="str">
        <f>IFERROR((((1-#REF!)*P14)/$O$5/60), "")</f>
        <v/>
      </c>
      <c r="P14" s="10">
        <v>120.0</v>
      </c>
      <c r="Q14" s="14" t="s">
        <v>64</v>
      </c>
      <c r="R14" s="4" t="s">
        <v>0</v>
      </c>
      <c r="S14" s="1"/>
      <c r="T14" s="1"/>
      <c r="U14" s="1"/>
      <c r="V14" s="1"/>
    </row>
    <row r="15">
      <c r="A15" s="4" t="s">
        <v>65</v>
      </c>
      <c r="B15" s="4" t="s">
        <v>66</v>
      </c>
      <c r="C15" s="4">
        <v>2009.0</v>
      </c>
      <c r="D15" s="4"/>
      <c r="E15" s="4"/>
      <c r="F15" s="4"/>
      <c r="G15" s="4"/>
      <c r="H15" s="4"/>
      <c r="I15" s="4"/>
      <c r="J15" s="4"/>
      <c r="K15" s="4"/>
      <c r="L15" s="15"/>
      <c r="M15" s="16"/>
      <c r="N15" s="17"/>
      <c r="P15" s="4"/>
      <c r="R15" s="4" t="s">
        <v>0</v>
      </c>
    </row>
    <row r="16">
      <c r="A16" s="4" t="s">
        <v>67</v>
      </c>
      <c r="B16" s="4" t="s">
        <v>68</v>
      </c>
      <c r="C16" s="4">
        <v>2022.0</v>
      </c>
      <c r="D16" s="4"/>
      <c r="E16" s="4">
        <v>7.0</v>
      </c>
      <c r="F16" s="4">
        <v>300.0</v>
      </c>
      <c r="G16" s="4">
        <v>6.0</v>
      </c>
      <c r="H16" s="4"/>
      <c r="I16" s="26" t="s">
        <v>69</v>
      </c>
      <c r="J16" s="26" t="s">
        <v>70</v>
      </c>
      <c r="K16" s="4">
        <v>990.0</v>
      </c>
      <c r="L16" s="15">
        <f t="shared" ref="L16:L19" si="4">K16-F16</f>
        <v>690</v>
      </c>
      <c r="M16" s="16">
        <f t="shared" ref="M16:M19" si="5">F16/K16</f>
        <v>0.303030303</v>
      </c>
      <c r="N16" s="17">
        <f t="shared" ref="N16:N19" si="6">IFERROR((((1-M16)*P16)*1000)/$N$5/60, "")</f>
        <v>13.55218855</v>
      </c>
      <c r="P16" s="4">
        <v>175.0</v>
      </c>
      <c r="Q16" s="26" t="s">
        <v>71</v>
      </c>
      <c r="R16" s="4" t="s">
        <v>0</v>
      </c>
    </row>
    <row r="17">
      <c r="A17" s="4" t="s">
        <v>72</v>
      </c>
      <c r="B17" s="4" t="s">
        <v>73</v>
      </c>
      <c r="C17" s="4">
        <v>1775.0</v>
      </c>
      <c r="D17" s="4"/>
      <c r="E17" s="4"/>
      <c r="F17" s="4">
        <v>5.0</v>
      </c>
      <c r="G17" s="4">
        <v>6.0</v>
      </c>
      <c r="H17" s="4"/>
      <c r="I17" s="26" t="s">
        <v>74</v>
      </c>
      <c r="J17" s="26" t="s">
        <v>75</v>
      </c>
      <c r="K17" s="4">
        <v>70.0</v>
      </c>
      <c r="L17" s="15">
        <f t="shared" si="4"/>
        <v>65</v>
      </c>
      <c r="M17" s="16">
        <f t="shared" si="5"/>
        <v>0.07142857143</v>
      </c>
      <c r="N17" s="17">
        <f t="shared" si="6"/>
        <v>17.23015873</v>
      </c>
      <c r="P17" s="4">
        <v>167.0</v>
      </c>
      <c r="Q17" s="26" t="s">
        <v>76</v>
      </c>
      <c r="R17" s="4" t="s">
        <v>0</v>
      </c>
    </row>
    <row r="18">
      <c r="A18" s="4" t="s">
        <v>77</v>
      </c>
      <c r="B18" s="4" t="s">
        <v>78</v>
      </c>
      <c r="C18" s="4" t="s">
        <v>79</v>
      </c>
      <c r="D18" s="4"/>
      <c r="E18" s="4"/>
      <c r="F18" s="4">
        <v>46.0</v>
      </c>
      <c r="G18" s="4"/>
      <c r="H18" s="4"/>
      <c r="I18" s="4"/>
      <c r="J18" s="26" t="s">
        <v>80</v>
      </c>
      <c r="K18" s="4">
        <v>904.0</v>
      </c>
      <c r="L18" s="15">
        <f t="shared" si="4"/>
        <v>858</v>
      </c>
      <c r="M18" s="16">
        <f t="shared" si="5"/>
        <v>0.05088495575</v>
      </c>
      <c r="N18" s="17">
        <f t="shared" si="6"/>
        <v>17.61135693</v>
      </c>
      <c r="P18" s="4">
        <v>167.0</v>
      </c>
      <c r="R18" s="4" t="s">
        <v>0</v>
      </c>
    </row>
    <row r="19">
      <c r="A19" s="10" t="s">
        <v>81</v>
      </c>
      <c r="B19" s="4" t="s">
        <v>81</v>
      </c>
      <c r="C19" s="4">
        <v>1885.0</v>
      </c>
      <c r="D19" s="4"/>
      <c r="E19" s="4">
        <v>6.0</v>
      </c>
      <c r="F19" s="4">
        <v>167.0</v>
      </c>
      <c r="G19" s="4">
        <v>61.0</v>
      </c>
      <c r="H19" s="28"/>
      <c r="I19" s="38" t="s">
        <v>82</v>
      </c>
      <c r="J19" s="38" t="s">
        <v>83</v>
      </c>
      <c r="K19" s="4">
        <v>900.0</v>
      </c>
      <c r="L19" s="15">
        <f t="shared" si="4"/>
        <v>733</v>
      </c>
      <c r="M19" s="16">
        <f t="shared" si="5"/>
        <v>0.1855555556</v>
      </c>
      <c r="N19" s="17">
        <f t="shared" si="6"/>
        <v>24.43333333</v>
      </c>
      <c r="P19" s="4">
        <v>270.0</v>
      </c>
      <c r="R19" s="4" t="s">
        <v>0</v>
      </c>
    </row>
    <row r="20">
      <c r="A20" s="20" t="s">
        <v>84</v>
      </c>
      <c r="B20" s="4"/>
      <c r="C20" s="4"/>
      <c r="D20" s="4"/>
      <c r="E20" s="4"/>
      <c r="F20" s="4"/>
      <c r="G20" s="4"/>
      <c r="H20" s="4"/>
      <c r="I20" s="4"/>
      <c r="J20" s="28"/>
      <c r="K20" s="4"/>
      <c r="L20" s="15"/>
      <c r="M20" s="16"/>
      <c r="N20" s="17"/>
      <c r="P20" s="4"/>
      <c r="R20" s="4" t="s">
        <v>0</v>
      </c>
    </row>
    <row r="21">
      <c r="A21" s="40" t="s">
        <v>85</v>
      </c>
      <c r="B21" s="40" t="s">
        <v>86</v>
      </c>
      <c r="C21" s="29">
        <v>1917.0</v>
      </c>
      <c r="D21" s="15"/>
      <c r="E21" s="15"/>
      <c r="F21" s="15">
        <v>37.0</v>
      </c>
      <c r="G21" s="15"/>
      <c r="H21" s="15"/>
      <c r="I21" s="15"/>
      <c r="J21" s="39" t="s">
        <v>87</v>
      </c>
      <c r="K21" s="15">
        <v>133.0</v>
      </c>
      <c r="L21" s="15">
        <f t="shared" ref="L21:L22" si="7">K21-F21</f>
        <v>96</v>
      </c>
      <c r="M21" s="16">
        <f t="shared" ref="M21:M22" si="8">F21/K21</f>
        <v>0.2781954887</v>
      </c>
      <c r="N21" s="17">
        <f t="shared" ref="N21:N22" si="9">IFERROR((((1-M21)*P21)*1000)/$N$5/60, "")</f>
        <v>3.20802005</v>
      </c>
      <c r="O21" s="17" t="str">
        <f t="shared" ref="O21:O22" si="10">IFERROR((((1-#REF!)*P21)/$O$5/60), "")</f>
        <v/>
      </c>
      <c r="P21" s="10">
        <v>40.0</v>
      </c>
      <c r="Q21" s="14" t="s">
        <v>88</v>
      </c>
      <c r="R21" s="4" t="s">
        <v>0</v>
      </c>
      <c r="S21" s="1"/>
      <c r="T21" s="40"/>
      <c r="U21" s="40"/>
      <c r="V21" s="1"/>
    </row>
    <row r="22">
      <c r="A22" s="40" t="s">
        <v>89</v>
      </c>
      <c r="B22" s="40" t="s">
        <v>86</v>
      </c>
      <c r="C22" s="29">
        <v>1917.0</v>
      </c>
      <c r="D22" s="15"/>
      <c r="E22" s="15"/>
      <c r="F22" s="15">
        <v>39.0</v>
      </c>
      <c r="G22" s="15"/>
      <c r="H22" s="15"/>
      <c r="I22" s="15"/>
      <c r="J22" s="39" t="s">
        <v>90</v>
      </c>
      <c r="K22" s="15">
        <v>253.0</v>
      </c>
      <c r="L22" s="15">
        <f t="shared" si="7"/>
        <v>214</v>
      </c>
      <c r="M22" s="16">
        <f t="shared" si="8"/>
        <v>0.1541501976</v>
      </c>
      <c r="N22" s="17">
        <f t="shared" si="9"/>
        <v>3.759332455</v>
      </c>
      <c r="O22" s="17" t="str">
        <f t="shared" si="10"/>
        <v/>
      </c>
      <c r="P22" s="10">
        <v>40.0</v>
      </c>
      <c r="Q22" s="14" t="s">
        <v>91</v>
      </c>
      <c r="R22" s="4" t="s">
        <v>0</v>
      </c>
      <c r="S22" s="1"/>
      <c r="T22" s="40"/>
      <c r="U22" s="40"/>
      <c r="V22" s="1"/>
    </row>
    <row r="23">
      <c r="A23" s="20" t="s">
        <v>92</v>
      </c>
      <c r="B23" s="4"/>
      <c r="C23" s="4"/>
      <c r="D23" s="4"/>
      <c r="E23" s="4"/>
      <c r="F23" s="4"/>
      <c r="G23" s="4"/>
      <c r="H23" s="4"/>
      <c r="I23" s="4"/>
      <c r="J23" s="28"/>
      <c r="K23" s="4"/>
      <c r="L23" s="15"/>
      <c r="M23" s="16"/>
      <c r="N23" s="17"/>
      <c r="P23" s="4"/>
      <c r="R23" s="4" t="s">
        <v>0</v>
      </c>
    </row>
    <row r="24">
      <c r="A24" s="40" t="s">
        <v>93</v>
      </c>
      <c r="B24" s="40"/>
      <c r="C24" s="29">
        <v>1917.0</v>
      </c>
      <c r="D24" s="2"/>
      <c r="E24" s="2"/>
      <c r="F24" s="2"/>
      <c r="G24" s="2"/>
      <c r="H24" s="2"/>
      <c r="I24" s="2"/>
      <c r="J24" s="2"/>
      <c r="K24" s="2"/>
      <c r="L24" s="15"/>
      <c r="M24" s="16"/>
      <c r="N24" s="17" t="str">
        <f>IFERROR(((1-#REF!)*(P24*1000))/$N$5/60, "")
</f>
        <v/>
      </c>
      <c r="O24" s="17" t="str">
        <f t="shared" ref="O24:O26" si="11">IFERROR((((1-#REF!)*P24)/$O$5/60), "")</f>
        <v/>
      </c>
      <c r="P24" s="1"/>
      <c r="Q24" s="14" t="s">
        <v>94</v>
      </c>
      <c r="R24" s="4" t="s">
        <v>0</v>
      </c>
      <c r="S24" s="1"/>
      <c r="T24" s="40"/>
      <c r="U24" s="40"/>
      <c r="V24" s="1"/>
    </row>
    <row r="25">
      <c r="A25" s="40" t="s">
        <v>96</v>
      </c>
      <c r="B25" s="40"/>
      <c r="C25" s="29">
        <v>2006.0</v>
      </c>
      <c r="D25" s="15"/>
      <c r="E25" s="15"/>
      <c r="F25" s="15">
        <v>38.0</v>
      </c>
      <c r="G25" s="15"/>
      <c r="H25" s="15"/>
      <c r="I25" s="15"/>
      <c r="J25" s="39" t="s">
        <v>97</v>
      </c>
      <c r="K25" s="15">
        <v>241.0</v>
      </c>
      <c r="L25" s="15">
        <f t="shared" ref="L25:L26" si="12">K25-F25</f>
        <v>203</v>
      </c>
      <c r="M25" s="16">
        <f t="shared" ref="M25:M26" si="13">F25/K25</f>
        <v>0.1576763485</v>
      </c>
      <c r="N25" s="17">
        <f t="shared" ref="N25:N26" si="14">IFERROR((((1-M25)*P25)*1000)/$N$5/60, "")</f>
        <v>7.019363762</v>
      </c>
      <c r="O25" s="17" t="str">
        <f t="shared" si="11"/>
        <v/>
      </c>
      <c r="P25" s="10">
        <v>75.0</v>
      </c>
      <c r="Q25" s="1"/>
      <c r="R25" s="4" t="s">
        <v>0</v>
      </c>
      <c r="S25" s="1"/>
      <c r="T25" s="40"/>
      <c r="U25" s="40"/>
      <c r="V25" s="1"/>
    </row>
    <row r="26">
      <c r="A26" s="40" t="s">
        <v>99</v>
      </c>
      <c r="B26" s="40" t="s">
        <v>15</v>
      </c>
      <c r="C26" s="29">
        <v>1925.0</v>
      </c>
      <c r="D26" s="15"/>
      <c r="E26" s="15"/>
      <c r="F26" s="15">
        <v>38.0</v>
      </c>
      <c r="G26" s="15"/>
      <c r="H26" s="15"/>
      <c r="I26" s="15"/>
      <c r="J26" s="39" t="s">
        <v>100</v>
      </c>
      <c r="K26" s="15">
        <v>213.0</v>
      </c>
      <c r="L26" s="15">
        <f t="shared" si="12"/>
        <v>175</v>
      </c>
      <c r="M26" s="16">
        <f t="shared" si="13"/>
        <v>0.1784037559</v>
      </c>
      <c r="N26" s="17">
        <f t="shared" si="14"/>
        <v>4.016692749</v>
      </c>
      <c r="O26" s="17" t="str">
        <f t="shared" si="11"/>
        <v/>
      </c>
      <c r="P26" s="10">
        <v>44.0</v>
      </c>
      <c r="Q26" s="14" t="s">
        <v>101</v>
      </c>
      <c r="R26" s="4" t="s">
        <v>0</v>
      </c>
      <c r="S26" s="1"/>
      <c r="T26" s="40"/>
      <c r="U26" s="40"/>
      <c r="V26" s="1"/>
    </row>
    <row r="27">
      <c r="A27" s="20" t="s">
        <v>102</v>
      </c>
      <c r="B27" s="40"/>
      <c r="C27" s="15"/>
      <c r="D27" s="15"/>
      <c r="E27" s="2"/>
      <c r="F27" s="15"/>
      <c r="G27" s="2"/>
      <c r="H27" s="2"/>
      <c r="I27" s="2"/>
      <c r="J27" s="15"/>
      <c r="K27" s="15"/>
      <c r="L27" s="15"/>
      <c r="M27" s="16"/>
      <c r="N27" s="17"/>
      <c r="O27" s="17"/>
      <c r="P27" s="1"/>
      <c r="Q27" s="10"/>
      <c r="R27" s="4" t="s">
        <v>0</v>
      </c>
      <c r="S27" s="1"/>
      <c r="T27" s="41"/>
      <c r="U27" s="41"/>
      <c r="V27" s="1"/>
    </row>
    <row r="28">
      <c r="A28" s="40" t="s">
        <v>103</v>
      </c>
      <c r="B28" s="40"/>
      <c r="C28" s="15"/>
      <c r="D28" s="15"/>
      <c r="E28" s="2"/>
      <c r="F28" s="15">
        <v>51.0</v>
      </c>
      <c r="G28" s="2"/>
      <c r="H28" s="2"/>
      <c r="I28" s="2"/>
      <c r="J28" s="39" t="s">
        <v>104</v>
      </c>
      <c r="K28" s="15">
        <v>700.0</v>
      </c>
      <c r="L28" s="15">
        <f t="shared" ref="L28:L33" si="15">K28-F28</f>
        <v>649</v>
      </c>
      <c r="M28" s="16">
        <f t="shared" ref="M28:M29" si="16">F28/K28</f>
        <v>0.07285714286</v>
      </c>
      <c r="N28" s="17">
        <f t="shared" ref="N28:N33" si="17">IFERROR((((1-M28)*P28)*1000)/$N$5/60, "")</f>
        <v>0</v>
      </c>
      <c r="O28" s="17" t="str">
        <f t="shared" ref="O28:O29" si="18">IFERROR((((1-#REF!)*P28)/$O$5/60), "")</f>
        <v/>
      </c>
      <c r="P28" s="1"/>
      <c r="Q28" s="14" t="s">
        <v>105</v>
      </c>
      <c r="R28" s="4" t="s">
        <v>0</v>
      </c>
      <c r="S28" s="1"/>
      <c r="T28" s="41"/>
      <c r="U28" s="41"/>
      <c r="V28" s="1"/>
    </row>
    <row r="29">
      <c r="A29" s="42" t="s">
        <v>107</v>
      </c>
      <c r="B29" s="43" t="s">
        <v>108</v>
      </c>
      <c r="C29" s="44">
        <v>1925.0</v>
      </c>
      <c r="D29" s="45"/>
      <c r="E29" s="45"/>
      <c r="F29" s="45"/>
      <c r="G29" s="45"/>
      <c r="H29" s="45"/>
      <c r="I29" s="45"/>
      <c r="J29" s="45"/>
      <c r="K29" s="45"/>
      <c r="L29" s="15">
        <f t="shared" si="15"/>
        <v>0</v>
      </c>
      <c r="M29" s="16" t="str">
        <f t="shared" si="16"/>
        <v>#DIV/0!</v>
      </c>
      <c r="N29" s="17" t="str">
        <f t="shared" si="17"/>
        <v/>
      </c>
      <c r="O29" s="46" t="str">
        <f t="shared" si="18"/>
        <v/>
      </c>
      <c r="P29" s="47">
        <v>250.0</v>
      </c>
      <c r="Q29" s="48" t="s">
        <v>109</v>
      </c>
      <c r="R29" s="4" t="s">
        <v>0</v>
      </c>
      <c r="S29" s="43"/>
      <c r="T29" s="42"/>
      <c r="U29" s="42"/>
      <c r="V29" s="43"/>
    </row>
    <row r="30">
      <c r="A30" s="10" t="s">
        <v>110</v>
      </c>
      <c r="B30" s="1"/>
      <c r="C30" s="15"/>
      <c r="D30" s="15"/>
      <c r="E30" s="15"/>
      <c r="F30" s="15">
        <v>6.0</v>
      </c>
      <c r="G30" s="15"/>
      <c r="H30" s="15"/>
      <c r="I30" s="15" t="s">
        <v>17</v>
      </c>
      <c r="J30" s="39" t="s">
        <v>111</v>
      </c>
      <c r="K30" s="15">
        <v>2088.0</v>
      </c>
      <c r="L30" s="15">
        <f t="shared" si="15"/>
        <v>2082</v>
      </c>
      <c r="M30" s="16"/>
      <c r="N30" s="17">
        <f t="shared" si="17"/>
        <v>0</v>
      </c>
      <c r="O30" s="17"/>
      <c r="P30" s="10"/>
      <c r="Q30" s="10"/>
      <c r="R30" s="4" t="s">
        <v>0</v>
      </c>
      <c r="S30" s="1"/>
      <c r="T30" s="40"/>
      <c r="U30" s="40"/>
      <c r="V30" s="1"/>
    </row>
    <row r="31">
      <c r="A31" s="40" t="s">
        <v>112</v>
      </c>
      <c r="B31" s="40" t="s">
        <v>113</v>
      </c>
      <c r="C31" s="29">
        <v>1890.0</v>
      </c>
      <c r="D31" s="2"/>
      <c r="E31" s="2"/>
      <c r="F31" s="2"/>
      <c r="G31" s="2"/>
      <c r="H31" s="2"/>
      <c r="I31" s="2"/>
      <c r="J31" s="2"/>
      <c r="K31" s="2"/>
      <c r="L31" s="15">
        <f t="shared" si="15"/>
        <v>0</v>
      </c>
      <c r="M31" s="16" t="str">
        <f t="shared" ref="M31:M33" si="19">F31/K31</f>
        <v>#DIV/0!</v>
      </c>
      <c r="N31" s="17" t="str">
        <f t="shared" si="17"/>
        <v/>
      </c>
      <c r="O31" s="17" t="str">
        <f t="shared" ref="O31:O33" si="20">IFERROR((((1-#REF!)*P31)/$O$5/60), "")</f>
        <v/>
      </c>
      <c r="P31" s="1"/>
      <c r="Q31" s="14" t="s">
        <v>114</v>
      </c>
      <c r="R31" s="4" t="s">
        <v>0</v>
      </c>
      <c r="S31" s="1"/>
      <c r="T31" s="40"/>
      <c r="U31" s="40"/>
      <c r="V31" s="1"/>
    </row>
    <row r="32">
      <c r="A32" s="40" t="s">
        <v>115</v>
      </c>
      <c r="B32" s="40"/>
      <c r="C32" s="2"/>
      <c r="D32" s="2"/>
      <c r="E32" s="2"/>
      <c r="F32" s="2"/>
      <c r="G32" s="2"/>
      <c r="H32" s="2"/>
      <c r="I32" s="2"/>
      <c r="J32" s="2"/>
      <c r="K32" s="2"/>
      <c r="L32" s="15">
        <f t="shared" si="15"/>
        <v>0</v>
      </c>
      <c r="M32" s="16" t="str">
        <f t="shared" si="19"/>
        <v>#DIV/0!</v>
      </c>
      <c r="N32" s="17" t="str">
        <f t="shared" si="17"/>
        <v/>
      </c>
      <c r="O32" s="17" t="str">
        <f t="shared" si="20"/>
        <v/>
      </c>
      <c r="P32" s="1"/>
      <c r="Q32" s="14" t="s">
        <v>116</v>
      </c>
      <c r="R32" s="4" t="s">
        <v>0</v>
      </c>
      <c r="S32" s="1"/>
      <c r="T32" s="40"/>
      <c r="U32" s="40"/>
      <c r="V32" s="1"/>
    </row>
    <row r="33">
      <c r="A33" s="40" t="s">
        <v>117</v>
      </c>
      <c r="B33" s="40"/>
      <c r="C33" s="2"/>
      <c r="D33" s="2"/>
      <c r="E33" s="2"/>
      <c r="F33" s="2"/>
      <c r="G33" s="2"/>
      <c r="H33" s="2"/>
      <c r="I33" s="2"/>
      <c r="J33" s="2"/>
      <c r="K33" s="2"/>
      <c r="L33" s="15">
        <f t="shared" si="15"/>
        <v>0</v>
      </c>
      <c r="M33" s="16" t="str">
        <f t="shared" si="19"/>
        <v>#DIV/0!</v>
      </c>
      <c r="N33" s="17" t="str">
        <f t="shared" si="17"/>
        <v/>
      </c>
      <c r="O33" s="17" t="str">
        <f t="shared" si="20"/>
        <v/>
      </c>
      <c r="P33" s="1"/>
      <c r="Q33" s="14" t="s">
        <v>118</v>
      </c>
      <c r="R33" s="4" t="s">
        <v>0</v>
      </c>
      <c r="S33" s="1"/>
      <c r="T33" s="1"/>
      <c r="U33" s="1"/>
      <c r="V33" s="1"/>
    </row>
    <row r="34">
      <c r="A34" s="20"/>
      <c r="B34" s="41"/>
      <c r="C34" s="49"/>
      <c r="D34" s="49"/>
      <c r="F34" s="49"/>
      <c r="G34" s="49"/>
      <c r="H34" s="49"/>
      <c r="I34" s="49"/>
      <c r="J34" s="49"/>
      <c r="K34" s="49"/>
      <c r="L34" s="15"/>
      <c r="M34" s="16"/>
      <c r="N34" s="17"/>
      <c r="O34" s="17"/>
      <c r="P34" s="41"/>
      <c r="Q34" s="1"/>
      <c r="R34" s="4" t="s">
        <v>0</v>
      </c>
      <c r="S34" s="1"/>
      <c r="T34" s="1"/>
      <c r="U34" s="1"/>
      <c r="V34" s="1"/>
    </row>
    <row r="35">
      <c r="A35" s="20" t="s">
        <v>119</v>
      </c>
      <c r="B35" s="41"/>
      <c r="C35" s="49"/>
      <c r="D35" s="49"/>
      <c r="F35" s="49"/>
      <c r="G35" s="49"/>
      <c r="H35" s="49"/>
      <c r="I35" s="49"/>
      <c r="J35" s="49"/>
      <c r="K35" s="49"/>
      <c r="L35" s="15"/>
      <c r="M35" s="16"/>
      <c r="N35" s="17"/>
      <c r="O35" s="17"/>
      <c r="P35" s="41"/>
      <c r="Q35" s="1"/>
      <c r="R35" s="4" t="s">
        <v>0</v>
      </c>
      <c r="S35" s="1"/>
      <c r="T35" s="1"/>
      <c r="U35" s="1"/>
      <c r="V35" s="1"/>
    </row>
    <row r="36">
      <c r="A36" s="40" t="s">
        <v>120</v>
      </c>
      <c r="B36" s="50" t="s">
        <v>121</v>
      </c>
      <c r="C36" s="29">
        <v>1892.0</v>
      </c>
      <c r="D36" s="50"/>
      <c r="E36" s="50"/>
      <c r="F36" s="50"/>
      <c r="G36" s="50"/>
      <c r="H36" s="50"/>
      <c r="I36" s="50"/>
      <c r="J36" s="50"/>
      <c r="K36" s="50"/>
      <c r="L36" s="15"/>
      <c r="M36" s="16" t="str">
        <f t="shared" ref="M36:M38" si="21">F36/K36</f>
        <v>#DIV/0!</v>
      </c>
      <c r="N36" s="17" t="str">
        <f>(((1-M36)*P36)*1000)/$N$5/60</f>
        <v>#DIV/0!</v>
      </c>
      <c r="O36" s="17" t="str">
        <f t="shared" ref="O36:O38" si="22">IFERROR((((1-#REF!)*P36)/$O$5/60), "")</f>
        <v/>
      </c>
      <c r="P36" s="12">
        <v>90.0</v>
      </c>
      <c r="Q36" s="10" t="s">
        <v>123</v>
      </c>
      <c r="R36" s="4" t="s">
        <v>0</v>
      </c>
      <c r="S36" s="1"/>
      <c r="T36" s="1"/>
      <c r="U36" s="1"/>
      <c r="V36" s="1"/>
    </row>
    <row r="37">
      <c r="A37" s="40" t="s">
        <v>124</v>
      </c>
      <c r="B37" s="50" t="s">
        <v>121</v>
      </c>
      <c r="C37" s="29">
        <v>1902.0</v>
      </c>
      <c r="D37" s="50"/>
      <c r="E37" s="50"/>
      <c r="F37" s="50"/>
      <c r="G37" s="50"/>
      <c r="H37" s="50"/>
      <c r="I37" s="50"/>
      <c r="J37" s="50"/>
      <c r="K37" s="50"/>
      <c r="L37" s="15"/>
      <c r="M37" s="16" t="str">
        <f t="shared" si="21"/>
        <v>#DIV/0!</v>
      </c>
      <c r="N37" s="17" t="str">
        <f t="shared" ref="N37:N38" si="23">IFERROR(((1-#REF!)*(P37*1000))/$N$5/60, "")
</f>
        <v/>
      </c>
      <c r="O37" s="17" t="str">
        <f t="shared" si="22"/>
        <v/>
      </c>
      <c r="P37" s="12">
        <v>98.0</v>
      </c>
      <c r="Q37" s="10" t="s">
        <v>123</v>
      </c>
      <c r="R37" s="4" t="s">
        <v>0</v>
      </c>
      <c r="S37" s="1"/>
      <c r="T37" s="1"/>
      <c r="U37" s="1"/>
      <c r="V37" s="1"/>
    </row>
    <row r="38">
      <c r="A38" s="40" t="s">
        <v>126</v>
      </c>
      <c r="B38" s="10" t="s">
        <v>127</v>
      </c>
      <c r="C38" s="29">
        <v>1882.0</v>
      </c>
      <c r="D38" s="50"/>
      <c r="E38" s="50"/>
      <c r="F38" s="50">
        <v>4.0</v>
      </c>
      <c r="G38" s="50"/>
      <c r="H38" s="50"/>
      <c r="I38" s="50"/>
      <c r="J38" s="50"/>
      <c r="K38" s="50">
        <v>107.0</v>
      </c>
      <c r="L38" s="15"/>
      <c r="M38" s="16">
        <f t="shared" si="21"/>
        <v>0.03738317757</v>
      </c>
      <c r="N38" s="17" t="str">
        <f t="shared" si="23"/>
        <v/>
      </c>
      <c r="O38" s="17" t="str">
        <f t="shared" si="22"/>
        <v/>
      </c>
      <c r="P38" s="51">
        <v>25.0</v>
      </c>
      <c r="Q38" s="10" t="s">
        <v>123</v>
      </c>
      <c r="R38" s="4" t="s">
        <v>0</v>
      </c>
      <c r="S38" s="1"/>
      <c r="T38" s="1"/>
      <c r="U38" s="1"/>
      <c r="V38" s="1"/>
    </row>
    <row r="39">
      <c r="A39" s="40"/>
      <c r="B39" s="40"/>
      <c r="C39" s="50"/>
      <c r="D39" s="50"/>
      <c r="E39" s="50"/>
      <c r="F39" s="50"/>
      <c r="G39" s="50"/>
      <c r="H39" s="50"/>
      <c r="I39" s="50"/>
      <c r="J39" s="50"/>
      <c r="K39" s="50"/>
      <c r="L39" s="50"/>
      <c r="M39" s="52"/>
      <c r="N39" s="53"/>
      <c r="O39" s="53"/>
      <c r="P39" s="40"/>
      <c r="Q39" s="1"/>
      <c r="R39" s="4" t="s">
        <v>0</v>
      </c>
      <c r="S39" s="1"/>
      <c r="T39" s="1"/>
      <c r="U39" s="1"/>
      <c r="V39" s="1"/>
    </row>
    <row r="40">
      <c r="A40" s="20" t="s">
        <v>129</v>
      </c>
      <c r="B40" s="1"/>
      <c r="C40" s="2"/>
      <c r="D40" s="2"/>
      <c r="E40" s="2"/>
      <c r="F40" s="2"/>
      <c r="G40" s="2"/>
      <c r="H40" s="2"/>
      <c r="I40" s="2"/>
      <c r="J40" s="2"/>
      <c r="K40" s="2"/>
      <c r="L40" s="2"/>
      <c r="M40" s="3"/>
      <c r="N40" s="54"/>
      <c r="O40" s="54"/>
      <c r="P40" s="1"/>
      <c r="Q40" s="1"/>
      <c r="R40" s="4" t="s">
        <v>0</v>
      </c>
      <c r="S40" s="1"/>
      <c r="T40" s="1"/>
      <c r="U40" s="1"/>
      <c r="V40" s="1"/>
    </row>
    <row r="41">
      <c r="A41" s="40" t="s">
        <v>130</v>
      </c>
      <c r="B41" s="1"/>
      <c r="C41" s="2"/>
      <c r="D41" s="2"/>
      <c r="E41" s="2"/>
      <c r="F41" s="2"/>
      <c r="G41" s="2"/>
      <c r="H41" s="2"/>
      <c r="I41" s="2"/>
      <c r="J41" s="2"/>
      <c r="K41" s="2"/>
      <c r="L41" s="2"/>
      <c r="M41" s="3"/>
      <c r="N41" s="54"/>
      <c r="O41" s="54"/>
      <c r="P41" s="1"/>
      <c r="Q41" s="1"/>
      <c r="R41" s="4" t="s">
        <v>0</v>
      </c>
      <c r="S41" s="1"/>
      <c r="T41" s="1"/>
      <c r="U41" s="1"/>
      <c r="V41" s="1"/>
    </row>
    <row r="42">
      <c r="A42" s="32" t="s">
        <v>131</v>
      </c>
      <c r="B42" s="1"/>
      <c r="C42" s="2"/>
      <c r="D42" s="2"/>
      <c r="E42" s="2"/>
      <c r="F42" s="2"/>
      <c r="G42" s="2"/>
      <c r="H42" s="2"/>
      <c r="I42" s="2"/>
      <c r="J42" s="2"/>
      <c r="K42" s="2"/>
      <c r="L42" s="2"/>
      <c r="M42" s="3"/>
      <c r="N42" s="54"/>
      <c r="O42" s="54"/>
      <c r="P42" s="1"/>
      <c r="Q42" s="1"/>
      <c r="R42" s="4" t="s">
        <v>0</v>
      </c>
      <c r="S42" s="1"/>
      <c r="T42" s="1"/>
      <c r="U42" s="1"/>
      <c r="V42" s="1"/>
    </row>
    <row r="43">
      <c r="A43" s="32" t="s">
        <v>132</v>
      </c>
      <c r="B43" s="1"/>
      <c r="C43" s="2"/>
      <c r="D43" s="2"/>
      <c r="E43" s="2"/>
      <c r="F43" s="2"/>
      <c r="G43" s="2"/>
      <c r="H43" s="2"/>
      <c r="I43" s="2"/>
      <c r="J43" s="2"/>
      <c r="K43" s="2"/>
      <c r="L43" s="2"/>
      <c r="M43" s="3"/>
      <c r="N43" s="54"/>
      <c r="O43" s="54"/>
      <c r="P43" s="1"/>
      <c r="Q43" s="1"/>
      <c r="R43" s="4" t="s">
        <v>0</v>
      </c>
      <c r="S43" s="1"/>
      <c r="T43" s="1"/>
      <c r="U43" s="1"/>
      <c r="V43" s="1"/>
    </row>
    <row r="44">
      <c r="A44" s="32" t="s">
        <v>133</v>
      </c>
      <c r="B44" s="25"/>
      <c r="C44" s="55"/>
      <c r="D44" s="55"/>
      <c r="E44" s="55"/>
      <c r="F44" s="55"/>
      <c r="G44" s="55"/>
      <c r="H44" s="55"/>
      <c r="I44" s="55"/>
      <c r="J44" s="55"/>
      <c r="K44" s="55"/>
      <c r="L44" s="55"/>
      <c r="M44" s="56"/>
      <c r="N44" s="57"/>
      <c r="O44" s="57"/>
      <c r="P44" s="25"/>
      <c r="Q44" s="1"/>
      <c r="R44" s="4" t="s">
        <v>0</v>
      </c>
      <c r="S44" s="1"/>
      <c r="T44" s="1"/>
      <c r="U44" s="1"/>
      <c r="V44" s="1"/>
    </row>
    <row r="45">
      <c r="A45" s="32" t="s">
        <v>134</v>
      </c>
      <c r="B45" s="25"/>
      <c r="C45" s="55"/>
      <c r="D45" s="55"/>
      <c r="E45" s="55"/>
      <c r="F45" s="55"/>
      <c r="G45" s="55"/>
      <c r="H45" s="55"/>
      <c r="I45" s="55"/>
      <c r="J45" s="55"/>
      <c r="K45" s="55"/>
      <c r="L45" s="55"/>
      <c r="M45" s="56"/>
      <c r="N45" s="57"/>
      <c r="O45" s="57"/>
      <c r="P45" s="25"/>
      <c r="Q45" s="1"/>
      <c r="R45" s="4" t="s">
        <v>0</v>
      </c>
      <c r="S45" s="1"/>
      <c r="T45" s="1"/>
      <c r="U45" s="1"/>
      <c r="V45" s="1"/>
    </row>
    <row r="46">
      <c r="A46" s="25"/>
      <c r="B46" s="25"/>
      <c r="C46" s="50"/>
      <c r="D46" s="50"/>
      <c r="E46" s="50"/>
      <c r="F46" s="50"/>
      <c r="G46" s="50"/>
      <c r="H46" s="50"/>
      <c r="I46" s="50"/>
      <c r="J46" s="50"/>
      <c r="K46" s="50"/>
      <c r="L46" s="50"/>
      <c r="M46" s="52"/>
      <c r="N46" s="57"/>
      <c r="O46" s="57"/>
      <c r="P46" s="40"/>
      <c r="Q46" s="1"/>
      <c r="R46" s="4" t="s">
        <v>0</v>
      </c>
      <c r="S46" s="1"/>
      <c r="T46" s="1"/>
      <c r="U46" s="1"/>
      <c r="V46" s="1"/>
    </row>
    <row r="47">
      <c r="A47" s="40"/>
      <c r="B47" s="40"/>
      <c r="C47" s="50"/>
      <c r="D47" s="50"/>
      <c r="E47" s="50"/>
      <c r="F47" s="50"/>
      <c r="G47" s="50"/>
      <c r="H47" s="50"/>
      <c r="I47" s="50"/>
      <c r="J47" s="50"/>
      <c r="K47" s="50"/>
      <c r="L47" s="50"/>
      <c r="M47" s="52"/>
      <c r="N47" s="53"/>
      <c r="O47" s="53"/>
      <c r="P47" s="40"/>
      <c r="Q47" s="1"/>
      <c r="R47" s="4" t="s">
        <v>0</v>
      </c>
      <c r="S47" s="1"/>
      <c r="T47" s="1"/>
      <c r="U47" s="1"/>
      <c r="V47" s="1"/>
    </row>
    <row r="48">
      <c r="A48" s="40"/>
      <c r="B48" s="40"/>
      <c r="C48" s="50"/>
      <c r="D48" s="50"/>
      <c r="E48" s="50"/>
      <c r="F48" s="50"/>
      <c r="G48" s="50"/>
      <c r="H48" s="50"/>
      <c r="I48" s="50"/>
      <c r="J48" s="50"/>
      <c r="K48" s="50"/>
      <c r="L48" s="58"/>
      <c r="M48" s="59"/>
      <c r="N48" s="53"/>
      <c r="O48" s="53"/>
      <c r="P48" s="51"/>
      <c r="Q48" s="1"/>
      <c r="R48" s="4" t="s">
        <v>0</v>
      </c>
      <c r="S48" s="1"/>
      <c r="T48" s="1"/>
      <c r="U48" s="1"/>
      <c r="V48" s="1"/>
    </row>
    <row r="49">
      <c r="A49" s="40"/>
      <c r="B49" s="40"/>
      <c r="C49" s="50"/>
      <c r="D49" s="50"/>
      <c r="E49" s="50"/>
      <c r="F49" s="50"/>
      <c r="G49" s="50"/>
      <c r="H49" s="50"/>
      <c r="I49" s="50"/>
      <c r="J49" s="50"/>
      <c r="K49" s="50"/>
      <c r="L49" s="50"/>
      <c r="M49" s="52"/>
      <c r="N49" s="53"/>
      <c r="O49" s="53"/>
      <c r="P49" s="40"/>
      <c r="Q49" s="1"/>
      <c r="R49" s="4" t="s">
        <v>0</v>
      </c>
      <c r="S49" s="1"/>
      <c r="T49" s="1"/>
      <c r="U49" s="1"/>
      <c r="V49" s="1"/>
    </row>
    <row r="50">
      <c r="A50" s="40"/>
      <c r="B50" s="40"/>
      <c r="C50" s="50"/>
      <c r="D50" s="50"/>
      <c r="E50" s="50"/>
      <c r="F50" s="50"/>
      <c r="G50" s="50"/>
      <c r="H50" s="50"/>
      <c r="I50" s="50"/>
      <c r="J50" s="50"/>
      <c r="K50" s="50"/>
      <c r="L50" s="50"/>
      <c r="M50" s="52"/>
      <c r="N50" s="53"/>
      <c r="O50" s="53"/>
      <c r="P50" s="40"/>
      <c r="Q50" s="1"/>
      <c r="R50" s="1"/>
      <c r="S50" s="1"/>
      <c r="T50" s="1"/>
      <c r="U50" s="1"/>
      <c r="V50" s="1"/>
    </row>
    <row r="51">
      <c r="A51" s="1"/>
      <c r="B51" s="1"/>
      <c r="C51" s="2"/>
      <c r="D51" s="2"/>
      <c r="E51" s="2"/>
      <c r="F51" s="2"/>
      <c r="G51" s="2"/>
      <c r="H51" s="2"/>
      <c r="I51" s="2"/>
      <c r="J51" s="2"/>
      <c r="K51" s="2"/>
      <c r="L51" s="2"/>
      <c r="M51" s="3"/>
      <c r="N51" s="54"/>
      <c r="O51" s="54"/>
      <c r="P51" s="1"/>
      <c r="Q51" s="1"/>
      <c r="R51" s="1"/>
      <c r="S51" s="1"/>
      <c r="T51" s="1"/>
      <c r="U51" s="1"/>
      <c r="V51" s="1"/>
    </row>
    <row r="52">
      <c r="A52" s="1"/>
      <c r="B52" s="1"/>
      <c r="C52" s="2"/>
      <c r="D52" s="2"/>
      <c r="E52" s="2"/>
      <c r="F52" s="2"/>
      <c r="G52" s="2"/>
      <c r="H52" s="2"/>
      <c r="I52" s="2"/>
      <c r="J52" s="2"/>
      <c r="K52" s="2"/>
      <c r="L52" s="2"/>
      <c r="M52" s="3"/>
      <c r="N52" s="54"/>
      <c r="O52" s="54"/>
      <c r="P52" s="1"/>
      <c r="Q52" s="1"/>
      <c r="R52" s="1"/>
      <c r="S52" s="1"/>
      <c r="T52" s="1"/>
      <c r="U52" s="1"/>
      <c r="V52" s="1"/>
    </row>
    <row r="53">
      <c r="A53" s="1"/>
      <c r="B53" s="1"/>
      <c r="C53" s="2"/>
      <c r="D53" s="2"/>
      <c r="E53" s="2"/>
      <c r="F53" s="2"/>
      <c r="G53" s="2"/>
      <c r="H53" s="2"/>
      <c r="I53" s="2"/>
      <c r="J53" s="2"/>
      <c r="K53" s="2"/>
      <c r="L53" s="2"/>
      <c r="M53" s="3"/>
      <c r="N53" s="54"/>
      <c r="O53" s="54"/>
      <c r="P53" s="1"/>
      <c r="Q53" s="1"/>
      <c r="R53" s="1"/>
      <c r="S53" s="1"/>
      <c r="T53" s="1"/>
      <c r="U53" s="1"/>
      <c r="V53" s="1"/>
    </row>
    <row r="54">
      <c r="A54" s="1"/>
      <c r="B54" s="1"/>
      <c r="C54" s="2"/>
      <c r="D54" s="2"/>
      <c r="E54" s="2"/>
      <c r="F54" s="2"/>
      <c r="G54" s="2"/>
      <c r="H54" s="2"/>
      <c r="I54" s="2"/>
      <c r="J54" s="2"/>
      <c r="K54" s="2"/>
      <c r="L54" s="2"/>
      <c r="M54" s="3"/>
      <c r="N54" s="54"/>
      <c r="O54" s="54"/>
      <c r="P54" s="1"/>
      <c r="Q54" s="1"/>
      <c r="R54" s="1"/>
      <c r="S54" s="1"/>
      <c r="T54" s="1"/>
      <c r="U54" s="1"/>
      <c r="V54" s="1"/>
    </row>
    <row r="55">
      <c r="A55" s="1"/>
      <c r="B55" s="1"/>
      <c r="C55" s="2"/>
      <c r="D55" s="2"/>
      <c r="E55" s="2"/>
      <c r="F55" s="2"/>
      <c r="G55" s="2"/>
      <c r="H55" s="2"/>
      <c r="I55" s="2"/>
      <c r="J55" s="2"/>
      <c r="K55" s="2"/>
      <c r="L55" s="2"/>
      <c r="M55" s="3"/>
      <c r="N55" s="54"/>
      <c r="O55" s="54"/>
      <c r="P55" s="1"/>
      <c r="Q55" s="1"/>
      <c r="R55" s="1"/>
      <c r="S55" s="1"/>
      <c r="T55" s="1"/>
      <c r="U55" s="1"/>
      <c r="V55" s="1"/>
    </row>
    <row r="56">
      <c r="A56" s="1"/>
      <c r="B56" s="1"/>
      <c r="C56" s="2"/>
      <c r="D56" s="2"/>
      <c r="E56" s="2"/>
      <c r="F56" s="2"/>
      <c r="G56" s="2"/>
      <c r="H56" s="2"/>
      <c r="I56" s="2"/>
      <c r="J56" s="2"/>
      <c r="K56" s="2"/>
      <c r="L56" s="2"/>
      <c r="M56" s="3"/>
      <c r="N56" s="54"/>
      <c r="O56" s="54"/>
      <c r="P56" s="1"/>
      <c r="Q56" s="1"/>
      <c r="R56" s="1"/>
      <c r="S56" s="1"/>
      <c r="T56" s="1"/>
      <c r="U56" s="1"/>
      <c r="V56" s="1"/>
    </row>
    <row r="57">
      <c r="A57" s="1"/>
      <c r="B57" s="1"/>
      <c r="C57" s="2"/>
      <c r="D57" s="2"/>
      <c r="E57" s="2"/>
      <c r="F57" s="2"/>
      <c r="G57" s="2"/>
      <c r="H57" s="2"/>
      <c r="I57" s="2"/>
      <c r="J57" s="2"/>
      <c r="K57" s="2"/>
      <c r="L57" s="2"/>
      <c r="M57" s="3"/>
      <c r="N57" s="54"/>
      <c r="O57" s="54"/>
      <c r="P57" s="1"/>
      <c r="Q57" s="1"/>
      <c r="R57" s="1"/>
      <c r="S57" s="1"/>
      <c r="T57" s="1"/>
      <c r="U57" s="1"/>
      <c r="V57" s="1"/>
    </row>
    <row r="58">
      <c r="A58" s="1"/>
      <c r="B58" s="1"/>
      <c r="C58" s="2"/>
      <c r="D58" s="2"/>
      <c r="E58" s="2"/>
      <c r="F58" s="2"/>
      <c r="G58" s="2"/>
      <c r="H58" s="2"/>
      <c r="I58" s="2"/>
      <c r="J58" s="2"/>
      <c r="K58" s="2"/>
      <c r="L58" s="2"/>
      <c r="M58" s="3"/>
      <c r="N58" s="54"/>
      <c r="O58" s="54"/>
      <c r="P58" s="1"/>
      <c r="Q58" s="1"/>
      <c r="R58" s="1"/>
      <c r="S58" s="1"/>
      <c r="T58" s="1"/>
      <c r="U58" s="1"/>
      <c r="V58" s="1"/>
    </row>
    <row r="59">
      <c r="A59" s="1"/>
      <c r="B59" s="1"/>
      <c r="C59" s="2"/>
      <c r="D59" s="2"/>
      <c r="E59" s="2"/>
      <c r="F59" s="2"/>
      <c r="G59" s="2"/>
      <c r="H59" s="2"/>
      <c r="I59" s="2"/>
      <c r="J59" s="2"/>
      <c r="K59" s="2"/>
      <c r="L59" s="2"/>
      <c r="M59" s="3"/>
      <c r="N59" s="54"/>
      <c r="O59" s="54"/>
      <c r="P59" s="1"/>
      <c r="Q59" s="1"/>
      <c r="R59" s="1"/>
      <c r="S59" s="1"/>
      <c r="T59" s="1"/>
      <c r="U59" s="1"/>
      <c r="V59" s="1"/>
    </row>
    <row r="60">
      <c r="A60" s="1"/>
      <c r="B60" s="1"/>
      <c r="C60" s="2"/>
      <c r="D60" s="2"/>
      <c r="E60" s="2"/>
      <c r="F60" s="2"/>
      <c r="G60" s="2"/>
      <c r="H60" s="2"/>
      <c r="I60" s="2"/>
      <c r="J60" s="2"/>
      <c r="K60" s="2"/>
      <c r="L60" s="2"/>
      <c r="M60" s="3"/>
      <c r="N60" s="54"/>
      <c r="O60" s="54"/>
      <c r="P60" s="1"/>
      <c r="Q60" s="1"/>
      <c r="R60" s="1"/>
    </row>
    <row r="61">
      <c r="A61" s="1"/>
      <c r="B61" s="1"/>
      <c r="C61" s="2"/>
      <c r="D61" s="2"/>
      <c r="E61" s="2"/>
      <c r="F61" s="2"/>
      <c r="G61" s="2"/>
      <c r="H61" s="2"/>
      <c r="I61" s="2"/>
      <c r="J61" s="2"/>
      <c r="K61" s="2"/>
      <c r="L61" s="2"/>
      <c r="M61" s="3"/>
      <c r="N61" s="54"/>
      <c r="O61" s="54"/>
      <c r="P61" s="1"/>
      <c r="Q61" s="1"/>
      <c r="R61" s="1"/>
    </row>
    <row r="62">
      <c r="A62" s="1"/>
      <c r="B62" s="1"/>
      <c r="C62" s="2"/>
      <c r="D62" s="2"/>
      <c r="E62" s="2"/>
      <c r="F62" s="2"/>
      <c r="G62" s="2"/>
      <c r="H62" s="2"/>
      <c r="I62" s="2"/>
      <c r="J62" s="2"/>
      <c r="K62" s="2"/>
      <c r="L62" s="2"/>
      <c r="M62" s="3"/>
      <c r="N62" s="54"/>
      <c r="O62" s="54"/>
      <c r="P62" s="1"/>
      <c r="Q62" s="1"/>
      <c r="R62" s="1"/>
    </row>
    <row r="63">
      <c r="A63" s="1"/>
      <c r="B63" s="1"/>
      <c r="C63" s="2"/>
      <c r="D63" s="2"/>
      <c r="E63" s="2"/>
      <c r="F63" s="2"/>
      <c r="G63" s="2"/>
      <c r="H63" s="2"/>
      <c r="I63" s="2"/>
      <c r="J63" s="2"/>
      <c r="K63" s="2"/>
      <c r="L63" s="2"/>
      <c r="M63" s="3"/>
      <c r="N63" s="54"/>
      <c r="O63" s="54"/>
      <c r="P63" s="1"/>
      <c r="Q63" s="1"/>
      <c r="R63" s="1"/>
    </row>
    <row r="64">
      <c r="A64" s="1"/>
      <c r="B64" s="1"/>
      <c r="C64" s="2"/>
      <c r="D64" s="2"/>
      <c r="E64" s="2"/>
      <c r="F64" s="2"/>
      <c r="G64" s="2"/>
      <c r="H64" s="2"/>
      <c r="I64" s="2"/>
      <c r="J64" s="2"/>
      <c r="K64" s="2"/>
      <c r="L64" s="2"/>
      <c r="M64" s="3"/>
      <c r="N64" s="54"/>
      <c r="O64" s="54"/>
      <c r="P64" s="1"/>
      <c r="Q64" s="1"/>
      <c r="R64" s="1"/>
    </row>
    <row r="65">
      <c r="A65" s="1"/>
      <c r="B65" s="1"/>
      <c r="C65" s="2"/>
      <c r="D65" s="2"/>
      <c r="E65" s="2"/>
      <c r="F65" s="2"/>
      <c r="G65" s="2"/>
      <c r="H65" s="2"/>
      <c r="I65" s="2"/>
      <c r="J65" s="2"/>
      <c r="K65" s="2"/>
      <c r="L65" s="2"/>
      <c r="M65" s="3"/>
      <c r="N65" s="54"/>
      <c r="O65" s="54"/>
      <c r="P65" s="1"/>
      <c r="Q65" s="1"/>
      <c r="R65" s="1"/>
    </row>
    <row r="66">
      <c r="A66" s="1"/>
      <c r="B66" s="1"/>
      <c r="C66" s="2"/>
      <c r="D66" s="2"/>
      <c r="E66" s="2"/>
      <c r="F66" s="2"/>
      <c r="G66" s="2"/>
      <c r="H66" s="2"/>
      <c r="I66" s="2"/>
      <c r="J66" s="2"/>
      <c r="K66" s="2"/>
      <c r="L66" s="2"/>
      <c r="M66" s="3"/>
      <c r="N66" s="54"/>
      <c r="O66" s="54"/>
      <c r="P66" s="1"/>
      <c r="Q66" s="1"/>
      <c r="R66" s="1"/>
    </row>
  </sheetData>
  <hyperlinks>
    <hyperlink r:id="rId1" ref="A6"/>
    <hyperlink r:id="rId2" ref="A8"/>
    <hyperlink r:id="rId3" ref="I13"/>
    <hyperlink r:id="rId4" ref="J13"/>
    <hyperlink r:id="rId5" ref="Q13"/>
    <hyperlink r:id="rId6" ref="I14"/>
    <hyperlink r:id="rId7" ref="J14"/>
    <hyperlink r:id="rId8" ref="Q14"/>
    <hyperlink r:id="rId9" ref="I16"/>
    <hyperlink r:id="rId10" ref="J16"/>
    <hyperlink r:id="rId11" ref="Q16"/>
    <hyperlink r:id="rId12" ref="I17"/>
    <hyperlink r:id="rId13" ref="J17"/>
    <hyperlink r:id="rId14" ref="Q17"/>
    <hyperlink r:id="rId15" ref="J18"/>
    <hyperlink r:id="rId16" ref="I19"/>
    <hyperlink r:id="rId17" ref="J19"/>
    <hyperlink r:id="rId18" ref="J21"/>
    <hyperlink r:id="rId19" ref="Q21"/>
    <hyperlink r:id="rId20" ref="J22"/>
    <hyperlink r:id="rId21" ref="Q22"/>
    <hyperlink r:id="rId22" ref="Q24"/>
    <hyperlink r:id="rId23" ref="J25"/>
    <hyperlink r:id="rId24" ref="J26"/>
    <hyperlink r:id="rId25" ref="Q26"/>
    <hyperlink r:id="rId26" ref="J28"/>
    <hyperlink r:id="rId27" ref="Q28"/>
    <hyperlink r:id="rId28" ref="Q29"/>
    <hyperlink r:id="rId29" ref="J30"/>
    <hyperlink r:id="rId30" ref="Q31"/>
    <hyperlink r:id="rId31" ref="Q32"/>
    <hyperlink r:id="rId32" ref="Q33"/>
  </hyperlinks>
  <drawing r:id="rId3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75"/>
    <col customWidth="1" min="2" max="2" width="14.25"/>
    <col customWidth="1" min="3" max="3" width="5.5"/>
    <col customWidth="1" min="4" max="4" width="3.0"/>
    <col customWidth="1" min="5" max="5" width="11.88"/>
    <col customWidth="1" min="6" max="6" width="8.88"/>
  </cols>
  <sheetData>
    <row r="1">
      <c r="G1" s="4" t="s">
        <v>0</v>
      </c>
    </row>
    <row r="2">
      <c r="G2" s="4" t="s">
        <v>0</v>
      </c>
    </row>
    <row r="3">
      <c r="D3" s="4"/>
      <c r="E3" s="6" t="s">
        <v>2</v>
      </c>
      <c r="G3" s="4" t="s">
        <v>0</v>
      </c>
    </row>
    <row r="4">
      <c r="D4" s="4"/>
      <c r="E4" s="6" t="s">
        <v>3</v>
      </c>
      <c r="G4" s="4" t="s">
        <v>0</v>
      </c>
    </row>
    <row r="5">
      <c r="C5" s="8" t="s">
        <v>4</v>
      </c>
      <c r="E5" s="9">
        <f>sum(E7:E59)</f>
        <v>603</v>
      </c>
      <c r="G5" s="4" t="s">
        <v>0</v>
      </c>
    </row>
    <row r="6">
      <c r="A6" s="6" t="s">
        <v>9</v>
      </c>
      <c r="B6" s="6" t="s">
        <v>10</v>
      </c>
      <c r="C6" s="8" t="s">
        <v>11</v>
      </c>
      <c r="D6" s="6"/>
      <c r="E6" s="6" t="s">
        <v>12</v>
      </c>
      <c r="F6" s="6" t="s">
        <v>13</v>
      </c>
      <c r="G6" s="4" t="s">
        <v>0</v>
      </c>
      <c r="H6" s="11"/>
      <c r="I6" s="11"/>
      <c r="J6" s="11"/>
    </row>
    <row r="7">
      <c r="A7" s="4" t="s">
        <v>14</v>
      </c>
      <c r="B7" s="4" t="s">
        <v>15</v>
      </c>
      <c r="C7" s="4">
        <v>1923.0</v>
      </c>
      <c r="D7" s="13"/>
      <c r="E7" s="13">
        <v>40.0</v>
      </c>
      <c r="F7" s="4" t="s">
        <v>17</v>
      </c>
      <c r="G7" s="4" t="s">
        <v>0</v>
      </c>
    </row>
    <row r="8">
      <c r="A8" s="4" t="s">
        <v>18</v>
      </c>
      <c r="B8" s="4" t="s">
        <v>19</v>
      </c>
      <c r="C8" s="4">
        <v>1915.0</v>
      </c>
      <c r="D8" s="4"/>
      <c r="E8" s="4">
        <v>10.0</v>
      </c>
      <c r="F8" s="18" t="s">
        <v>20</v>
      </c>
      <c r="G8" s="4" t="s">
        <v>0</v>
      </c>
    </row>
    <row r="9">
      <c r="A9" s="4" t="s">
        <v>21</v>
      </c>
      <c r="B9" s="19" t="s">
        <v>22</v>
      </c>
      <c r="C9" s="4">
        <v>1891.0</v>
      </c>
      <c r="D9" s="13"/>
      <c r="E9" s="13">
        <v>10.0</v>
      </c>
      <c r="F9" s="18" t="s">
        <v>23</v>
      </c>
      <c r="G9" s="4" t="s">
        <v>0</v>
      </c>
    </row>
    <row r="10">
      <c r="A10" s="4" t="s">
        <v>25</v>
      </c>
      <c r="B10" s="4" t="s">
        <v>26</v>
      </c>
      <c r="C10" s="4">
        <v>1847.0</v>
      </c>
      <c r="D10" s="4"/>
      <c r="E10" s="4">
        <v>10.0</v>
      </c>
      <c r="F10" s="18" t="s">
        <v>27</v>
      </c>
      <c r="G10" s="4" t="s">
        <v>0</v>
      </c>
    </row>
    <row r="11">
      <c r="A11" s="4" t="s">
        <v>31</v>
      </c>
      <c r="B11" s="4" t="s">
        <v>32</v>
      </c>
      <c r="C11" s="4">
        <v>1981.0</v>
      </c>
      <c r="D11" s="4"/>
      <c r="E11" s="4">
        <v>133.0</v>
      </c>
      <c r="F11" s="18" t="s">
        <v>33</v>
      </c>
      <c r="G11" s="4" t="s">
        <v>0</v>
      </c>
    </row>
    <row r="12">
      <c r="A12" s="4" t="s">
        <v>38</v>
      </c>
      <c r="B12" s="4" t="s">
        <v>39</v>
      </c>
      <c r="C12" s="4">
        <v>1887.0</v>
      </c>
      <c r="D12" s="4"/>
      <c r="E12" s="4">
        <v>100.0</v>
      </c>
      <c r="F12" s="26" t="s">
        <v>40</v>
      </c>
      <c r="G12" s="4" t="s">
        <v>0</v>
      </c>
    </row>
    <row r="13">
      <c r="A13" s="10" t="s">
        <v>42</v>
      </c>
      <c r="B13" s="10" t="s">
        <v>43</v>
      </c>
      <c r="C13" s="4">
        <v>1840.0</v>
      </c>
      <c r="D13" s="10"/>
      <c r="E13" s="10">
        <v>150.0</v>
      </c>
      <c r="F13" s="14" t="s">
        <v>45</v>
      </c>
      <c r="G13" s="4" t="s">
        <v>0</v>
      </c>
    </row>
    <row r="14">
      <c r="A14" s="10" t="s">
        <v>31</v>
      </c>
      <c r="B14" s="10" t="s">
        <v>53</v>
      </c>
      <c r="C14" s="29">
        <v>2023.0</v>
      </c>
      <c r="E14" s="10">
        <v>150.0</v>
      </c>
      <c r="F14" s="1"/>
      <c r="G14" s="4" t="s">
        <v>0</v>
      </c>
    </row>
    <row r="15">
      <c r="D15" s="30"/>
      <c r="E15" s="30"/>
      <c r="F15" s="31"/>
      <c r="G15" s="4" t="s">
        <v>0</v>
      </c>
    </row>
    <row r="16">
      <c r="D16" s="30"/>
      <c r="E16" s="30"/>
      <c r="F16" s="31"/>
      <c r="H16" s="30"/>
    </row>
    <row r="17">
      <c r="D17" s="32"/>
      <c r="E17" s="32"/>
      <c r="F17" s="33"/>
      <c r="H17" s="34"/>
    </row>
    <row r="18">
      <c r="D18" s="32"/>
      <c r="E18" s="32"/>
      <c r="F18" s="33"/>
      <c r="H18" s="32"/>
    </row>
    <row r="19">
      <c r="D19" s="35"/>
      <c r="E19" s="35"/>
      <c r="F19" s="36"/>
      <c r="H19" s="35"/>
    </row>
    <row r="20">
      <c r="D20" s="32"/>
      <c r="E20" s="32"/>
      <c r="F20" s="33"/>
      <c r="H20" s="34"/>
    </row>
    <row r="21">
      <c r="D21" s="32"/>
      <c r="E21" s="32"/>
      <c r="F21" s="33"/>
      <c r="H21" s="32"/>
    </row>
    <row r="22">
      <c r="F22" s="37"/>
    </row>
    <row r="23">
      <c r="F23" s="37"/>
      <c r="G23" s="4" t="s">
        <v>0</v>
      </c>
    </row>
    <row r="24">
      <c r="F24" s="37"/>
      <c r="G24" s="4" t="s">
        <v>0</v>
      </c>
    </row>
    <row r="25">
      <c r="G25" s="4" t="s">
        <v>0</v>
      </c>
    </row>
    <row r="26">
      <c r="G26" s="4" t="s">
        <v>0</v>
      </c>
      <c r="H26" s="30"/>
    </row>
    <row r="27">
      <c r="G27" s="4" t="s">
        <v>0</v>
      </c>
      <c r="H27" s="34"/>
    </row>
    <row r="28">
      <c r="G28" s="4" t="s">
        <v>0</v>
      </c>
    </row>
    <row r="29">
      <c r="G29" s="4" t="s">
        <v>0</v>
      </c>
    </row>
    <row r="30">
      <c r="G30" s="4" t="s">
        <v>0</v>
      </c>
    </row>
    <row r="31">
      <c r="G31" s="4" t="s">
        <v>0</v>
      </c>
    </row>
    <row r="32">
      <c r="G32" s="4" t="s">
        <v>0</v>
      </c>
    </row>
    <row r="33">
      <c r="G33" s="4" t="s">
        <v>0</v>
      </c>
    </row>
  </sheetData>
  <hyperlinks>
    <hyperlink r:id="rId1" ref="F8"/>
    <hyperlink r:id="rId2" ref="F9"/>
    <hyperlink r:id="rId3" ref="F10"/>
    <hyperlink r:id="rId4" ref="F11"/>
    <hyperlink r:id="rId5" ref="F12"/>
    <hyperlink r:id="rId6" ref="F13"/>
  </hyperlinks>
  <drawing r:id="rId7"/>
</worksheet>
</file>