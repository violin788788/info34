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urrent" sheetId="1" state="visible" r:id="rId1"/>
    <sheet xmlns:r="http://schemas.openxmlformats.org/officeDocument/2006/relationships" name="backup-current" sheetId="2" state="visible" r:id="rId2"/>
    <sheet xmlns:r="http://schemas.openxmlformats.org/officeDocument/2006/relationships" name="readcompleted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cheme val="minor"/>
    </font>
    <font>
      <name val="Arial"/>
      <b val="1"/>
      <color theme="1"/>
      <sz val="10"/>
      <scheme val="minor"/>
    </font>
    <font>
      <name val="Arial"/>
      <b val="1"/>
      <color theme="1"/>
      <scheme val="minor"/>
    </font>
    <font>
      <name val="Arial"/>
      <b val="1"/>
      <color theme="1"/>
    </font>
    <font>
      <color rgb="FF0000FF"/>
      <sz val="10"/>
      <u val="single"/>
    </font>
    <font>
      <name val="'Google Sans Text'"/>
      <color rgb="FF000000"/>
      <sz val="11"/>
      <u val="single"/>
    </font>
    <font>
      <name val="&quot;Google Sans&quot;"/>
      <color theme="1"/>
      <sz val="11"/>
    </font>
    <font>
      <name val="Arial"/>
      <b val="1"/>
      <color rgb="FF000000"/>
      <sz val="10"/>
      <scheme val="minor"/>
    </font>
    <font>
      <color rgb="FF0000FF"/>
      <u val="single"/>
    </font>
    <font>
      <name val="'Google Sans Text'"/>
      <b val="1"/>
      <color rgb="FF000000"/>
      <sz val="11"/>
    </font>
    <font>
      <name val="'Google Sans Text'"/>
      <color rgb="FF000000"/>
      <sz val="11"/>
    </font>
    <font>
      <name val="Arial"/>
      <color theme="1"/>
      <sz val="11"/>
    </font>
    <font>
      <name val="'Google Sans Text'"/>
      <color rgb="FF1F1F1F"/>
      <sz val="11"/>
    </font>
    <font>
      <color rgb="FF0000FF"/>
      <u val="single"/>
    </font>
    <font>
      <color rgb="FF0000FF"/>
      <sz val="10"/>
      <u val="single"/>
    </font>
    <font>
      <name val="Arial"/>
      <color theme="1"/>
    </font>
    <font>
      <name val="Arial"/>
      <color rgb="FF1155CC"/>
      <u val="single"/>
    </font>
    <font>
      <name val="Arial"/>
      <color rgb="FF1F1F1F"/>
      <sz val="10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" fontId="1" fillId="0" borderId="0" pivotButton="0" quotePrefix="0" xfId="0"/>
    <xf numFmtId="9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10" fontId="1" fillId="0" borderId="0" pivotButton="0" quotePrefix="0" xfId="0"/>
    <xf numFmtId="4" fontId="5" fillId="0" borderId="0" applyAlignment="1" pivotButton="0" quotePrefix="0" xfId="0">
      <alignment vertical="bottom"/>
    </xf>
    <xf numFmtId="3" fontId="2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3" fontId="1" fillId="0" borderId="0" pivotButton="0" quotePrefix="0" xfId="0"/>
    <xf numFmtId="3" fontId="2" fillId="0" borderId="0" pivotButton="0" quotePrefix="0" xfId="0"/>
    <xf numFmtId="0" fontId="6" fillId="0" borderId="0" pivotButton="0" quotePrefix="0" xfId="0"/>
    <xf numFmtId="1" fontId="1" fillId="0" borderId="0" pivotButton="0" quotePrefix="0" xfId="0"/>
    <xf numFmtId="9" fontId="1" fillId="0" borderId="0" pivotButton="0" quotePrefix="0" xfId="0"/>
    <xf numFmtId="4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1" fontId="3" fillId="0" borderId="0" pivotButton="0" quotePrefix="0" xfId="0"/>
    <xf numFmtId="0" fontId="3" fillId="0" borderId="0" pivotButton="0" quotePrefix="0" xfId="0"/>
    <xf numFmtId="1" fontId="5" fillId="0" borderId="0" applyAlignment="1" pivotButton="0" quotePrefix="0" xfId="0">
      <alignment vertical="bottom"/>
    </xf>
    <xf numFmtId="9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" fontId="5" fillId="0" borderId="0" applyAlignment="1" pivotButton="0" quotePrefix="0" xfId="0">
      <alignment vertical="bottom"/>
    </xf>
    <xf numFmtId="0" fontId="2" fillId="0" borderId="0" pivotButton="0" quotePrefix="0" xfId="0"/>
    <xf numFmtId="1" fontId="2" fillId="0" borderId="0" pivotButton="0" quotePrefix="0" xfId="0"/>
    <xf numFmtId="0" fontId="11" fillId="0" borderId="0" pivotButton="0" quotePrefix="0" xfId="0"/>
    <xf numFmtId="9" fontId="11" fillId="0" borderId="0" pivotButton="0" quotePrefix="0" xfId="0"/>
    <xf numFmtId="0" fontId="12" fillId="0" borderId="0" pivotButton="0" quotePrefix="0" xfId="0"/>
    <xf numFmtId="9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9" fontId="14" fillId="0" borderId="0" pivotButton="0" quotePrefix="0" xfId="0"/>
    <xf numFmtId="9" fontId="2" fillId="0" borderId="0" pivotButton="0" quotePrefix="0" xfId="0"/>
    <xf numFmtId="0" fontId="15" fillId="0" borderId="0" pivotButton="0" quotePrefix="0" xfId="0"/>
    <xf numFmtId="1" fontId="1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7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1" fontId="17" fillId="0" borderId="0" applyAlignment="1" pivotButton="0" quotePrefix="0" xfId="0">
      <alignment horizontal="right" vertical="bottom"/>
    </xf>
    <xf numFmtId="1" fontId="17" fillId="0" borderId="0" applyAlignment="1" pivotButton="0" quotePrefix="0" xfId="0">
      <alignment vertical="bottom"/>
    </xf>
    <xf numFmtId="4" fontId="17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1" fontId="0" fillId="0" borderId="0" pivotButton="0" quotePrefix="0" xfId="0"/>
    <xf numFmtId="1" fontId="0" fillId="0" borderId="0" pivotButton="0" quotePrefix="0" xfId="0"/>
    <xf numFmtId="0" fontId="19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1" fontId="9" fillId="0" borderId="0" pivotButton="0" quotePrefix="0" xfId="0"/>
    <xf numFmtId="9" fontId="9" fillId="0" borderId="0" pivotButton="0" quotePrefix="0" xfId="0"/>
    <xf numFmtId="4" fontId="9" fillId="0" borderId="0" pivotButton="0" quotePrefix="0" xfId="0"/>
    <xf numFmtId="1" fontId="19" fillId="0" borderId="0" pivotButton="0" quotePrefix="0" xfId="0"/>
    <xf numFmtId="9" fontId="1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play.google.com/books" TargetMode="External" Id="rId1"/><Relationship Type="http://schemas.openxmlformats.org/officeDocument/2006/relationships/hyperlink" Target="https://play.google.com/books" TargetMode="External" Id="rId2"/><Relationship Type="http://schemas.openxmlformats.org/officeDocument/2006/relationships/hyperlink" Target="https://drive.google.com/drive/folders/1W0OhNc8FjvRYyGvB9wAoaFcDZUrbP6lm" TargetMode="External" Id="rId3"/><Relationship Type="http://schemas.openxmlformats.org/officeDocument/2006/relationships/hyperlink" Target="https://play.google.com/books/reader?id=n8H5PAAAAEAJ&amp;pg=GBS.PA177.w.0.0.0.1_303" TargetMode="External" Id="rId4"/><Relationship Type="http://schemas.openxmlformats.org/officeDocument/2006/relationships/hyperlink" Target="https://archive.org/details/oldregimeandrev00tocqgoog" TargetMode="External" Id="rId5"/><Relationship Type="http://schemas.openxmlformats.org/officeDocument/2006/relationships/hyperlink" Target="https://drive.google.com/drive/folders/1eor9aep92u2y21HbrpqAQtUVQkBe4554" TargetMode="External" Id="rId6"/><Relationship Type="http://schemas.openxmlformats.org/officeDocument/2006/relationships/hyperlink" Target="https://play.google.com/books/reader?id=vfHJPAAAAEAJ&amp;pg=GBS.PA11" TargetMode="External" Id="rId7"/><Relationship Type="http://schemas.openxmlformats.org/officeDocument/2006/relationships/hyperlink" Target="https://www.gutenberg.org/ebooks/3076" TargetMode="External" Id="rId8"/><Relationship Type="http://schemas.openxmlformats.org/officeDocument/2006/relationships/hyperlink" Target="https://drive.google.com/drive/folders/1ScccByby141iAAgGYvl4E-BH_tHjWSqj" TargetMode="External" Id="rId9"/><Relationship Type="http://schemas.openxmlformats.org/officeDocument/2006/relationships/hyperlink" Target="https://play.google.com/books/reader?id=gPwSPQAAAEAJ&amp;pg=GBS.PA" TargetMode="External" Id="rId10"/><Relationship Type="http://schemas.openxmlformats.org/officeDocument/2006/relationships/hyperlink" Target="https://dokumen.pub/jp-morgan-amp-co-and-the-crisis-of-capitalism-from-the-wall-street-crash-to-world-war-ii-9781108653602-9781108498371.html" TargetMode="External" Id="rId11"/><Relationship Type="http://schemas.openxmlformats.org/officeDocument/2006/relationships/hyperlink" Target="https://drive.google.com/drive/folders/1Wn3XK-y0DRAN8cxTPD026ckBfTfdXTJP" TargetMode="External" Id="rId12"/><Relationship Type="http://schemas.openxmlformats.org/officeDocument/2006/relationships/hyperlink" Target="https://play.google.com/books/reader?id=ftUEPQAAAEAJ" TargetMode="External" Id="rId13"/><Relationship Type="http://schemas.openxmlformats.org/officeDocument/2006/relationships/hyperlink" Target="https://www.gutenberg.org/ebooks/147" TargetMode="External" Id="rId14"/><Relationship Type="http://schemas.openxmlformats.org/officeDocument/2006/relationships/hyperlink" Target="https://dl.icdst.org/pdfs/files3/4e8ad0e1692a3ead1bf12e88465da1a9.pdf" TargetMode="External" Id="rId15"/><Relationship Type="http://schemas.openxmlformats.org/officeDocument/2006/relationships/hyperlink" Target="https://drive.google.com/drive/folders/1gWwbUPc4oguCXUCt56jsioiLF9vAtrRO" TargetMode="External" Id="rId16"/><Relationship Type="http://schemas.openxmlformats.org/officeDocument/2006/relationships/hyperlink" Target="https://play.google.com/books/reader?id=NYD3PAAAAEAJ&amp;pg=GBS.PA160.w.0.0.0.4_17" TargetMode="External" Id="rId17"/><Relationship Type="http://schemas.openxmlformats.org/officeDocument/2006/relationships/hyperlink" Target="https://play.google.com/books/reader?id=47PGPAAAAEAJ&amp;pg=GBS.PA36_310" TargetMode="External" Id="rId18"/><Relationship Type="http://schemas.openxmlformats.org/officeDocument/2006/relationships/hyperlink" Target="https://play.google.com/books/reader?id=MSGzPAAAAEAJ&amp;pg=GBS.PA8" TargetMode="External" Id="rId19"/><Relationship Type="http://schemas.openxmlformats.org/officeDocument/2006/relationships/hyperlink" Target="https://play.google.com/books/reader?id=W-nGPAAAAEAJ" TargetMode="External" Id="rId20"/><Relationship Type="http://schemas.openxmlformats.org/officeDocument/2006/relationships/hyperlink" Target="https://play.google.com/books/reader?id=MyGzPAAAAEAJ&amp;pg=GBS.PA26" TargetMode="External" Id="rId21"/><Relationship Type="http://schemas.openxmlformats.org/officeDocument/2006/relationships/hyperlink" Target="https://dn720006.ca.archive.org/0/items/ochranarussianse0000atva/ochranarussianse0000atva.pdf" TargetMode="External" Id="rId22"/><Relationship Type="http://schemas.openxmlformats.org/officeDocument/2006/relationships/hyperlink" Target="https://play.google.com/books/reader?id=4LXGPAAAAEAJ&amp;pg=GBS.PA37_71" TargetMode="External" Id="rId23"/><Relationship Type="http://schemas.openxmlformats.org/officeDocument/2006/relationships/hyperlink" Target="https://play.google.com/books/reader?id=8u7GPAAAAEAJ&amp;pg=GBS.PA38" TargetMode="External" Id="rId24"/><Relationship Type="http://schemas.openxmlformats.org/officeDocument/2006/relationships/hyperlink" Target="https://play.google.com/books/reader?id=sPCuPAAAAEAJ&amp;pg=GBS.PA33" TargetMode="External" Id="rId25"/><Relationship Type="http://schemas.openxmlformats.org/officeDocument/2006/relationships/hyperlink" Target="https://play.google.com/books/reader?id=VfvGPAAAAEAJ&amp;pg=GBS.PA51" TargetMode="External" Id="rId26"/><Relationship Type="http://schemas.openxmlformats.org/officeDocument/2006/relationships/hyperlink" Target="https://drive.google.com/drive/" TargetMode="External" Id="rId27"/><Relationship Type="http://schemas.openxmlformats.org/officeDocument/2006/relationships/hyperlink" Target="https://app.luminpdf.com/viewer/6a43d12bb73797f7f04926e2?credentials-id=cdb9ff29-060e-4ef3-a802-62338912642d&amp;can-join-workspace=false&amp;from=drive" TargetMode="External" Id="rId28"/><Relationship Type="http://schemas.openxmlformats.org/officeDocument/2006/relationships/hyperlink" Target="https://play.google.com/books/reader?id=cADbPAAAAEAJ&amp;pg=GBS.PA6" TargetMode="External" Id="rId29"/><Relationship Type="http://schemas.openxmlformats.org/officeDocument/2006/relationships/hyperlink" Target="https://blogs.ubc.ca/fafa/files/2020/01/Riis_How-the-Other-Half-Lives.pdf" TargetMode="External" Id="rId30"/><Relationship Type="http://schemas.openxmlformats.org/officeDocument/2006/relationships/hyperlink" Target="https://books.google.com/books/about/The_Swiss_Republic.html?id=j51UjqqwfhgC" TargetMode="External" Id="rId31"/><Relationship Type="http://schemas.openxmlformats.org/officeDocument/2006/relationships/hyperlink" Target="https://digitallibrary.un.org/record/412547?ln=en&amp;v=pdf" TargetMode="External" Id="rId32"/></Relationships>
</file>

<file path=xl/worksheets/_rels/sheet2.xml.rels><Relationships xmlns="http://schemas.openxmlformats.org/package/2006/relationships"><Relationship Type="http://schemas.openxmlformats.org/officeDocument/2006/relationships/hyperlink" Target="https://play.google.com/books" TargetMode="External" Id="rId1"/><Relationship Type="http://schemas.openxmlformats.org/officeDocument/2006/relationships/hyperlink" Target="https://play.google.com/books" TargetMode="External" Id="rId2"/><Relationship Type="http://schemas.openxmlformats.org/officeDocument/2006/relationships/hyperlink" Target="https://drive.google.com/drive/folders/1W0OhNc8FjvRYyGvB9wAoaFcDZUrbP6lm" TargetMode="External" Id="rId3"/><Relationship Type="http://schemas.openxmlformats.org/officeDocument/2006/relationships/hyperlink" Target="https://play.google.com/books/reader?id=n8H5PAAAAEAJ&amp;pg=GBS.PA177.w.0.0.0.1_303" TargetMode="External" Id="rId4"/><Relationship Type="http://schemas.openxmlformats.org/officeDocument/2006/relationships/hyperlink" Target="https://archive.org/details/oldregimeandrev00tocqgoog" TargetMode="External" Id="rId5"/><Relationship Type="http://schemas.openxmlformats.org/officeDocument/2006/relationships/hyperlink" Target="https://drive.google.com/drive/folders/1eor9aep92u2y21HbrpqAQtUVQkBe4554" TargetMode="External" Id="rId6"/><Relationship Type="http://schemas.openxmlformats.org/officeDocument/2006/relationships/hyperlink" Target="https://play.google.com/books/reader?id=vfHJPAAAAEAJ&amp;pg=GBS.PA11" TargetMode="External" Id="rId7"/><Relationship Type="http://schemas.openxmlformats.org/officeDocument/2006/relationships/hyperlink" Target="https://www.gutenberg.org/ebooks/3076" TargetMode="External" Id="rId8"/><Relationship Type="http://schemas.openxmlformats.org/officeDocument/2006/relationships/hyperlink" Target="https://drive.google.com/drive/folders/1ScccByby141iAAgGYvl4E-BH_tHjWSqj" TargetMode="External" Id="rId9"/><Relationship Type="http://schemas.openxmlformats.org/officeDocument/2006/relationships/hyperlink" Target="https://play.google.com/books/reader?id=gPwSPQAAAEAJ&amp;pg=GBS.PA" TargetMode="External" Id="rId10"/><Relationship Type="http://schemas.openxmlformats.org/officeDocument/2006/relationships/hyperlink" Target="https://dokumen.pub/jp-morgan-amp-co-and-the-crisis-of-capitalism-from-the-wall-street-crash-to-world-war-ii-9781108653602-9781108498371.html" TargetMode="External" Id="rId11"/><Relationship Type="http://schemas.openxmlformats.org/officeDocument/2006/relationships/hyperlink" Target="https://drive.google.com/drive/folders/1Wn3XK-y0DRAN8cxTPD026ckBfTfdXTJP" TargetMode="External" Id="rId12"/><Relationship Type="http://schemas.openxmlformats.org/officeDocument/2006/relationships/hyperlink" Target="https://play.google.com/books/reader?id=ftUEPQAAAEAJ" TargetMode="External" Id="rId13"/><Relationship Type="http://schemas.openxmlformats.org/officeDocument/2006/relationships/hyperlink" Target="https://www.gutenberg.org/ebooks/147" TargetMode="External" Id="rId14"/><Relationship Type="http://schemas.openxmlformats.org/officeDocument/2006/relationships/hyperlink" Target="https://dl.icdst.org/pdfs/files3/4e8ad0e1692a3ead1bf12e88465da1a9.pdf" TargetMode="External" Id="rId15"/><Relationship Type="http://schemas.openxmlformats.org/officeDocument/2006/relationships/hyperlink" Target="https://drive.google.com/drive/folders/1gWwbUPc4oguCXUCt56jsioiLF9vAtrRO" TargetMode="External" Id="rId16"/><Relationship Type="http://schemas.openxmlformats.org/officeDocument/2006/relationships/hyperlink" Target="https://play.google.com/books/reader?id=NYD3PAAAAEAJ&amp;pg=GBS.PA160.w.0.0.0.4_17" TargetMode="External" Id="rId17"/><Relationship Type="http://schemas.openxmlformats.org/officeDocument/2006/relationships/hyperlink" Target="https://play.google.com/books/reader?id=47PGPAAAAEAJ&amp;pg=GBS.PA36_310" TargetMode="External" Id="rId18"/><Relationship Type="http://schemas.openxmlformats.org/officeDocument/2006/relationships/hyperlink" Target="https://play.google.com/books/reader?id=MSGzPAAAAEAJ&amp;pg=GBS.PA8" TargetMode="External" Id="rId19"/><Relationship Type="http://schemas.openxmlformats.org/officeDocument/2006/relationships/hyperlink" Target="https://play.google.com/books/reader?id=W-nGPAAAAEAJ" TargetMode="External" Id="rId20"/><Relationship Type="http://schemas.openxmlformats.org/officeDocument/2006/relationships/hyperlink" Target="https://play.google.com/books/reader?id=MyGzPAAAAEAJ&amp;pg=GBS.PA26" TargetMode="External" Id="rId21"/><Relationship Type="http://schemas.openxmlformats.org/officeDocument/2006/relationships/hyperlink" Target="https://dn720006.ca.archive.org/0/items/ochranarussianse0000atva/ochranarussianse0000atva.pdf" TargetMode="External" Id="rId22"/><Relationship Type="http://schemas.openxmlformats.org/officeDocument/2006/relationships/hyperlink" Target="https://play.google.com/books/reader?id=4LXGPAAAAEAJ&amp;pg=GBS.PA37_71" TargetMode="External" Id="rId23"/><Relationship Type="http://schemas.openxmlformats.org/officeDocument/2006/relationships/hyperlink" Target="https://play.google.com/books/reader?id=8u7GPAAAAEAJ&amp;pg=GBS.PA38" TargetMode="External" Id="rId24"/><Relationship Type="http://schemas.openxmlformats.org/officeDocument/2006/relationships/hyperlink" Target="https://play.google.com/books/reader?id=sPCuPAAAAEAJ&amp;pg=GBS.PA33" TargetMode="External" Id="rId25"/><Relationship Type="http://schemas.openxmlformats.org/officeDocument/2006/relationships/hyperlink" Target="https://play.google.com/books/reader?id=VfvGPAAAAEAJ&amp;pg=GBS.PA51" TargetMode="External" Id="rId26"/><Relationship Type="http://schemas.openxmlformats.org/officeDocument/2006/relationships/hyperlink" Target="https://drive.google.com/drive/" TargetMode="External" Id="rId27"/><Relationship Type="http://schemas.openxmlformats.org/officeDocument/2006/relationships/hyperlink" Target="https://app.luminpdf.com/viewer/6a43d12bb73797f7f04926e2?credentials-id=cdb9ff29-060e-4ef3-a802-62338912642d&amp;can-join-workspace=false&amp;from=drive" TargetMode="External" Id="rId28"/><Relationship Type="http://schemas.openxmlformats.org/officeDocument/2006/relationships/hyperlink" Target="https://play.google.com/books/reader?id=cADbPAAAAEAJ&amp;pg=GBS.PA6" TargetMode="External" Id="rId29"/><Relationship Type="http://schemas.openxmlformats.org/officeDocument/2006/relationships/hyperlink" Target="https://blogs.ubc.ca/fafa/files/2020/01/Riis_How-the-Other-Half-Lives.pdf" TargetMode="External" Id="rId30"/><Relationship Type="http://schemas.openxmlformats.org/officeDocument/2006/relationships/hyperlink" Target="https://books.google.com/books/about/The_Swiss_Republic.html?id=j51UjqqwfhgC" TargetMode="External" Id="rId31"/><Relationship Type="http://schemas.openxmlformats.org/officeDocument/2006/relationships/hyperlink" Target="https://digitallibrary.un.org/record/412547?ln=en&amp;v=pdf" TargetMode="External" Id="rId3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annedthought.net/USSR/Lenin/Lenin-SocialismAndWar-Moscow-1967-OCR-sm.pdf" TargetMode="External" Id="rId1"/><Relationship Type="http://schemas.openxmlformats.org/officeDocument/2006/relationships/hyperlink" Target="https://theanarchistlibrary.org/library/errico-malatesta-anarchy" TargetMode="External" Id="rId2"/><Relationship Type="http://schemas.openxmlformats.org/officeDocument/2006/relationships/hyperlink" Target="https://www.marxists.org/archive/marx/works/download/pdf/Manifesto.pdf" TargetMode="External" Id="rId3"/><Relationship Type="http://schemas.openxmlformats.org/officeDocument/2006/relationships/hyperlink" Target="https://archive.org/details/chekaleninspolit0000legg" TargetMode="External" Id="rId4"/><Relationship Type="http://schemas.openxmlformats.org/officeDocument/2006/relationships/hyperlink" Target="https://archive.org/details/rothschildsfinan00reevuoft" TargetMode="External" Id="rId5"/><Relationship Type="http://schemas.openxmlformats.org/officeDocument/2006/relationships/hyperlink" Target="https://www.gutenberg.org/ebooks/360" TargetMode="External" Id="rId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60"/>
  <sheetViews>
    <sheetView workbookViewId="0">
      <selection activeCell="A1" sqref="A1"/>
    </sheetView>
  </sheetViews>
  <sheetFormatPr baseColWidth="8" defaultColWidth="12.63" defaultRowHeight="15.75" customHeight="1"/>
  <cols>
    <col width="15.63" customWidth="1" style="41" min="1" max="1"/>
    <col width="9" customWidth="1" style="41" min="2" max="2"/>
    <col width="5.5" customWidth="1" style="41" min="3" max="3"/>
    <col width="2.13" customWidth="1" style="41" min="4" max="4"/>
    <col width="5" customWidth="1" style="41" min="5" max="5"/>
    <col width="4.13" customWidth="1" style="41" min="6" max="6"/>
    <col width="4.88" customWidth="1" style="41" min="7" max="7"/>
    <col width="4" customWidth="1" style="41" min="8" max="8"/>
    <col width="2.25" customWidth="1" style="41" min="9" max="9"/>
    <col width="5" customWidth="1" style="41" min="10" max="10"/>
    <col width="4.38" customWidth="1" style="41" min="11" max="11"/>
    <col width="5.5" customWidth="1" style="41" min="12" max="12"/>
    <col width="5.88" customWidth="1" style="41" min="13" max="13"/>
    <col width="5.25" customWidth="1" style="41" min="14" max="14"/>
    <col width="6.5" customWidth="1" style="41" min="15" max="16"/>
    <col width="5.88" customWidth="1" style="41" min="17" max="17"/>
    <col width="5.75" customWidth="1" style="41" min="18" max="18"/>
  </cols>
  <sheetData>
    <row r="1">
      <c r="A1" s="10" t="inlineStr">
        <is>
          <t>https://play.google.com/books</t>
        </is>
      </c>
      <c r="B1" s="10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6" t="n"/>
      <c r="O1" s="5" t="inlineStr">
        <is>
          <t>words</t>
        </is>
      </c>
      <c r="P1" s="5" t="inlineStr">
        <is>
          <t>words</t>
        </is>
      </c>
      <c r="Q1" s="10" t="n"/>
      <c r="R1" s="10" t="n"/>
      <c r="S1" s="28" t="inlineStr">
        <is>
          <t xml:space="preserve"> </t>
        </is>
      </c>
      <c r="T1" s="7" t="n"/>
      <c r="U1" s="10" t="n"/>
      <c r="V1" s="10" t="n"/>
      <c r="W1" s="10" t="n"/>
    </row>
    <row r="2">
      <c r="A2" s="10" t="n"/>
      <c r="B2" s="10" t="inlineStr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5" t="inlineStr">
        <is>
          <t>heard</t>
        </is>
      </c>
      <c r="P2" s="5" t="inlineStr">
        <is>
          <t>read</t>
        </is>
      </c>
      <c r="Q2" s="10" t="n"/>
      <c r="R2" s="10" t="n"/>
      <c r="S2" s="28" t="inlineStr">
        <is>
          <t xml:space="preserve"> </t>
        </is>
      </c>
      <c r="T2" s="7" t="n"/>
      <c r="U2" s="10" t="n"/>
      <c r="V2" s="10" t="n"/>
      <c r="W2" s="10" t="n"/>
    </row>
    <row r="3">
      <c r="A3" s="10" t="n"/>
      <c r="B3" s="10" t="n"/>
      <c r="C3" s="15" t="inlineStr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6" t="n"/>
      <c r="O3" s="5" t="inlineStr">
        <is>
          <t>per</t>
        </is>
      </c>
      <c r="P3" s="5" t="inlineStr">
        <is>
          <t>per</t>
        </is>
      </c>
      <c r="Q3" s="10" t="n"/>
      <c r="R3" s="10" t="n"/>
      <c r="S3" s="28" t="inlineStr">
        <is>
          <t xml:space="preserve"> </t>
        </is>
      </c>
      <c r="T3" s="7" t="n"/>
      <c r="U3" s="10" t="n"/>
      <c r="V3" s="10" t="n"/>
      <c r="W3" s="10" t="n"/>
    </row>
    <row r="4">
      <c r="A4" s="10" t="n"/>
      <c r="B4" s="10" t="n"/>
      <c r="C4" s="15" t="n"/>
      <c r="D4" s="15" t="inlineStr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6" t="n"/>
      <c r="O4" s="5" t="inlineStr">
        <is>
          <t>minute</t>
        </is>
      </c>
      <c r="P4" s="5" t="inlineStr">
        <is>
          <t>minute</t>
        </is>
      </c>
      <c r="Q4" s="10" t="n"/>
      <c r="R4" s="10" t="n"/>
      <c r="S4" s="28" t="inlineStr">
        <is>
          <t xml:space="preserve"> </t>
        </is>
      </c>
      <c r="T4" s="7" t="n"/>
      <c r="U4" s="10" t="n"/>
      <c r="V4" s="10" t="n"/>
      <c r="W4" s="10" t="n"/>
    </row>
    <row r="5">
      <c r="A5" s="10" t="n"/>
      <c r="B5" s="10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6" t="n"/>
      <c r="O5" s="10" t="n">
        <v>150</v>
      </c>
      <c r="P5" s="12" t="n">
        <v>300</v>
      </c>
      <c r="Q5" s="10" t="n"/>
      <c r="R5" s="10" t="n"/>
      <c r="S5" s="28" t="inlineStr">
        <is>
          <t xml:space="preserve"> </t>
        </is>
      </c>
      <c r="T5" s="7" t="n"/>
      <c r="U5" s="10" t="n"/>
      <c r="V5" s="10" t="n"/>
      <c r="W5" s="10" t="n"/>
    </row>
    <row r="6">
      <c r="A6" s="14" t="inlineStr">
        <is>
          <t>https://play.google.com/books</t>
        </is>
      </c>
      <c r="B6" s="10" t="n"/>
      <c r="C6" s="15" t="n"/>
      <c r="D6" s="15" t="n"/>
      <c r="E6" s="15" t="n"/>
      <c r="F6" s="15" t="inlineStr">
        <is>
          <t>test</t>
        </is>
      </c>
      <c r="G6" s="15" t="n"/>
      <c r="H6" s="15" t="n"/>
      <c r="I6" s="15" t="n"/>
      <c r="J6" s="15" t="n"/>
      <c r="K6" s="15" t="n"/>
      <c r="L6" s="15" t="n"/>
      <c r="M6" s="15" t="n"/>
      <c r="N6" s="16" t="n"/>
      <c r="O6" s="54" t="n"/>
      <c r="P6" s="54" t="n"/>
      <c r="Q6" s="10" t="n"/>
      <c r="R6" s="10" t="n"/>
      <c r="S6" s="28" t="inlineStr">
        <is>
          <t xml:space="preserve"> </t>
        </is>
      </c>
      <c r="T6" s="7" t="n"/>
      <c r="U6" s="10" t="n"/>
      <c r="V6" s="10" t="n"/>
      <c r="W6" s="10" t="n"/>
    </row>
    <row r="7">
      <c r="A7" s="10" t="n"/>
      <c r="B7" s="10" t="n"/>
      <c r="C7" s="15" t="n"/>
      <c r="D7" s="15" t="n"/>
      <c r="E7" s="15" t="n"/>
      <c r="F7" s="15" t="n"/>
      <c r="G7" s="15" t="inlineStr">
        <is>
          <t>test</t>
        </is>
      </c>
      <c r="H7" s="15" t="n"/>
      <c r="I7" s="15" t="n"/>
      <c r="J7" s="15" t="n"/>
      <c r="K7" s="15" t="n"/>
      <c r="L7" s="15" t="n"/>
      <c r="M7" s="15" t="n"/>
      <c r="N7" s="16" t="n"/>
      <c r="O7" s="5" t="inlineStr">
        <is>
          <t>total</t>
        </is>
      </c>
      <c r="P7" s="5" t="inlineStr">
        <is>
          <t>total</t>
        </is>
      </c>
      <c r="Q7" s="10" t="n"/>
      <c r="R7" s="10" t="n"/>
      <c r="S7" s="28" t="inlineStr">
        <is>
          <t xml:space="preserve"> </t>
        </is>
      </c>
      <c r="T7" s="7" t="n"/>
      <c r="U7" s="10" t="n"/>
      <c r="V7" s="10" t="n"/>
      <c r="W7" s="10" t="n"/>
    </row>
    <row r="8">
      <c r="A8" s="14" t="inlineStr">
        <is>
          <t>https://play.google.com/books</t>
        </is>
      </c>
      <c r="B8" s="10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6" t="n"/>
      <c r="O8" s="54">
        <f>sum(O21:O60)</f>
        <v/>
      </c>
      <c r="P8" s="54">
        <f>sum(P27:P60)</f>
        <v/>
      </c>
      <c r="Q8" s="10" t="n"/>
      <c r="R8" s="22" t="inlineStr">
        <is>
          <t>epub</t>
        </is>
      </c>
      <c r="S8" s="28" t="inlineStr">
        <is>
          <t xml:space="preserve"> </t>
        </is>
      </c>
      <c r="T8" s="7" t="n"/>
      <c r="U8" s="10" t="n"/>
      <c r="V8" s="10" t="n"/>
      <c r="W8" s="10" t="n"/>
    </row>
    <row r="9">
      <c r="A9" s="10" t="n"/>
      <c r="B9" s="10" t="n"/>
      <c r="C9" s="21" t="n"/>
      <c r="D9" s="21" t="n"/>
      <c r="E9" s="21" t="n"/>
      <c r="F9" s="15" t="n"/>
      <c r="G9" s="21" t="n"/>
      <c r="H9" s="15" t="n"/>
      <c r="I9" s="15" t="n"/>
      <c r="J9" s="15" t="n"/>
      <c r="K9" s="15" t="n"/>
      <c r="L9" s="15" t="n"/>
      <c r="M9" s="15" t="n"/>
      <c r="N9" s="16" t="n"/>
      <c r="O9" s="5" t="inlineStr">
        <is>
          <t>audio</t>
        </is>
      </c>
      <c r="P9" s="5" t="inlineStr">
        <is>
          <t>read</t>
        </is>
      </c>
      <c r="Q9" s="22" t="inlineStr">
        <is>
          <t>total</t>
        </is>
      </c>
      <c r="R9" s="22" t="inlineStr">
        <is>
          <t>or</t>
        </is>
      </c>
      <c r="S9" s="28" t="inlineStr">
        <is>
          <t xml:space="preserve"> </t>
        </is>
      </c>
      <c r="T9" s="10" t="n"/>
      <c r="U9" s="10" t="n"/>
      <c r="V9" s="10" t="n"/>
      <c r="W9" s="10" t="n"/>
    </row>
    <row r="10">
      <c r="A10" s="22" t="n"/>
      <c r="B10" s="22" t="n"/>
      <c r="C10" s="21" t="inlineStr">
        <is>
          <t>year</t>
        </is>
      </c>
      <c r="D10" s="27" t="n"/>
      <c r="E10" s="27" t="n"/>
      <c r="F10" s="21" t="n"/>
      <c r="G10" s="27" t="n"/>
      <c r="H10" s="21" t="n"/>
      <c r="I10" s="21" t="n"/>
      <c r="J10" s="21" t="n"/>
      <c r="K10" s="21" t="n"/>
      <c r="L10" s="21" t="inlineStr">
        <is>
          <t>total</t>
        </is>
      </c>
      <c r="M10" s="21" t="inlineStr">
        <is>
          <t>pages</t>
        </is>
      </c>
      <c r="N10" s="24" t="inlineStr">
        <is>
          <t>%</t>
        </is>
      </c>
      <c r="O10" s="5" t="inlineStr">
        <is>
          <t>hours</t>
        </is>
      </c>
      <c r="P10" s="5" t="inlineStr">
        <is>
          <t>hours</t>
        </is>
      </c>
      <c r="Q10" s="22" t="inlineStr">
        <is>
          <t>words</t>
        </is>
      </c>
      <c r="R10" s="22" t="inlineStr">
        <is>
          <t>pdf</t>
        </is>
      </c>
      <c r="S10" s="28" t="inlineStr">
        <is>
          <t xml:space="preserve"> </t>
        </is>
      </c>
      <c r="T10" s="22" t="n"/>
      <c r="U10" s="25" t="n"/>
      <c r="V10" s="25" t="n"/>
      <c r="W10" s="22" t="n"/>
    </row>
    <row r="11">
      <c r="A11" s="22" t="inlineStr">
        <is>
          <t>title</t>
        </is>
      </c>
      <c r="B11" s="22" t="inlineStr">
        <is>
          <t>author</t>
        </is>
      </c>
      <c r="C11" s="21" t="inlineStr">
        <is>
          <t>wrote</t>
        </is>
      </c>
      <c r="D11" s="27" t="n"/>
      <c r="E11" s="27" t="inlineStr">
        <is>
          <t>page</t>
        </is>
      </c>
      <c r="F11" s="21" t="inlineStr">
        <is>
          <t>part</t>
        </is>
      </c>
      <c r="G11" s="27" t="inlineStr">
        <is>
          <t>page</t>
        </is>
      </c>
      <c r="H11" s="21" t="inlineStr">
        <is>
          <t>min</t>
        </is>
      </c>
      <c r="I11" s="21" t="n"/>
      <c r="J11" s="21" t="inlineStr">
        <is>
          <t>audio</t>
        </is>
      </c>
      <c r="K11" s="21" t="inlineStr">
        <is>
          <t>text</t>
        </is>
      </c>
      <c r="L11" s="21" t="inlineStr">
        <is>
          <t>pages</t>
        </is>
      </c>
      <c r="M11" s="21" t="inlineStr">
        <is>
          <t>left</t>
        </is>
      </c>
      <c r="N11" s="24" t="inlineStr">
        <is>
          <t>done</t>
        </is>
      </c>
      <c r="O11" s="5" t="inlineStr">
        <is>
          <t>left</t>
        </is>
      </c>
      <c r="P11" s="5" t="inlineStr">
        <is>
          <t>left</t>
        </is>
      </c>
      <c r="Q11" s="22" t="inlineStr">
        <is>
          <t>(k)</t>
        </is>
      </c>
      <c r="R11" s="22" t="inlineStr">
        <is>
          <t>url</t>
        </is>
      </c>
      <c r="S11" s="28" t="inlineStr">
        <is>
          <t xml:space="preserve"> </t>
        </is>
      </c>
      <c r="T11" s="22" t="n"/>
      <c r="U11" s="25" t="n"/>
      <c r="V11" s="25" t="n"/>
      <c r="W11" s="22" t="n"/>
    </row>
    <row r="12">
      <c r="A12" s="22" t="inlineStr">
        <is>
          <t>current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15" t="n"/>
      <c r="N12" s="16" t="n"/>
      <c r="O12" s="54" t="n"/>
      <c r="Q12" s="28" t="n"/>
      <c r="S12" s="28" t="inlineStr">
        <is>
          <t xml:space="preserve"> </t>
        </is>
      </c>
    </row>
    <row r="13">
      <c r="A13" s="28" t="inlineStr">
        <is>
          <t>corporate_finance</t>
        </is>
      </c>
      <c r="B13" s="28" t="inlineStr">
        <is>
          <t>?</t>
        </is>
      </c>
      <c r="C13" s="28" t="n"/>
      <c r="D13" s="28" t="n"/>
      <c r="E13" s="28" t="n"/>
      <c r="F13" s="28" t="n">
        <v>1</v>
      </c>
      <c r="G13" s="28" t="inlineStr">
        <is>
          <t>?</t>
        </is>
      </c>
      <c r="H13" s="28" t="n">
        <v>53</v>
      </c>
      <c r="I13" s="28" t="n"/>
      <c r="J13" s="28" t="n"/>
      <c r="K13" s="28" t="n"/>
      <c r="L13" s="28" t="n"/>
      <c r="M13" s="15" t="n"/>
      <c r="N13" s="16" t="n"/>
      <c r="O13" s="54" t="n"/>
      <c r="Q13" s="28" t="n"/>
      <c r="R13" s="28" t="n"/>
      <c r="S13" s="28" t="n"/>
    </row>
    <row r="14">
      <c r="A14" s="28" t="inlineStr">
        <is>
          <t>french_revolution</t>
        </is>
      </c>
      <c r="B14" s="28" t="inlineStr">
        <is>
          <t>tocqueville</t>
        </is>
      </c>
      <c r="C14" s="28" t="n">
        <v>1856</v>
      </c>
      <c r="D14" s="28" t="n"/>
      <c r="E14" s="28" t="n">
        <v>234</v>
      </c>
      <c r="F14" s="28" t="n">
        <v>9</v>
      </c>
      <c r="G14" s="28" t="n">
        <v>234</v>
      </c>
      <c r="H14" s="28" t="n">
        <v>30</v>
      </c>
      <c r="I14" s="28" t="n"/>
      <c r="J14" s="26" t="inlineStr">
        <is>
          <t>https://drive.google.com/drive/folders/1W0OhNc8FjvRYyGvB9wAoaFcDZUrbP6lm</t>
        </is>
      </c>
      <c r="K14" s="38" t="inlineStr">
        <is>
          <t>https://play.google.com/books/reader?id=n8H5PAAAAEAJ&amp;pg=GBS.PA177.w.0.0.0.1_303</t>
        </is>
      </c>
      <c r="L14" s="28" t="n">
        <v>360</v>
      </c>
      <c r="M14" s="15">
        <f>L14-G14</f>
        <v/>
      </c>
      <c r="N14" s="16">
        <f>G14/L14</f>
        <v/>
      </c>
      <c r="O14" s="54">
        <f>IFERROR((((1-N14)*Q14)*1000)/$O$5/60, "")</f>
        <v/>
      </c>
      <c r="Q14" s="28" t="n">
        <v>167</v>
      </c>
      <c r="R14" s="26" t="inlineStr">
        <is>
          <t>https://archive.org/details/oldregimeandrev00tocqgoog</t>
        </is>
      </c>
      <c r="S14" s="28" t="inlineStr">
        <is>
          <t xml:space="preserve"> </t>
        </is>
      </c>
    </row>
    <row r="15">
      <c r="A15" s="10" t="inlineStr">
        <is>
          <t>ten days</t>
        </is>
      </c>
      <c r="B15" s="10" t="inlineStr">
        <is>
          <t>john reed</t>
        </is>
      </c>
      <c r="C15" s="29" t="n">
        <v>1919</v>
      </c>
      <c r="D15" s="15" t="n"/>
      <c r="E15" s="15" t="n">
        <v>25</v>
      </c>
      <c r="F15" s="15" t="n">
        <v>1</v>
      </c>
      <c r="G15" s="15" t="n">
        <v>25</v>
      </c>
      <c r="H15" s="15" t="n">
        <v>35</v>
      </c>
      <c r="I15" s="15" t="n"/>
      <c r="J15" s="39" t="inlineStr">
        <is>
          <t>https://drive.google.com/drive/folders/1eor9aep92u2y21HbrpqAQtUVQkBe4554</t>
        </is>
      </c>
      <c r="K15" s="39" t="inlineStr">
        <is>
          <t>https://play.google.com/books/reader?id=vfHJPAAAAEAJ&amp;pg=GBS.PA11</t>
        </is>
      </c>
      <c r="L15" s="15" t="n">
        <v>439</v>
      </c>
      <c r="M15" s="15">
        <f>L15-G15</f>
        <v/>
      </c>
      <c r="N15" s="16">
        <f>G15/L15</f>
        <v/>
      </c>
      <c r="O15" s="54">
        <f>IFERROR((((1-N15)*Q15)*1000)/$O$5/60, "")</f>
        <v/>
      </c>
      <c r="P15" s="54">
        <f>IFERROR((((1-#REF!)*Q15)/$P$5/60), "")</f>
        <v/>
      </c>
      <c r="Q15" s="10" t="n">
        <v>120</v>
      </c>
      <c r="R15" s="14" t="inlineStr">
        <is>
          <t>https://www.gutenberg.org/ebooks/3076</t>
        </is>
      </c>
      <c r="S15" s="28" t="inlineStr">
        <is>
          <t xml:space="preserve"> </t>
        </is>
      </c>
      <c r="T15" s="10" t="n"/>
      <c r="U15" s="10" t="n"/>
      <c r="V15" s="10" t="n"/>
      <c r="W15" s="10" t="n"/>
    </row>
    <row r="16">
      <c r="A16" s="28" t="inlineStr">
        <is>
          <t>too_big_to_fail</t>
        </is>
      </c>
      <c r="B16" s="28" t="inlineStr">
        <is>
          <t>sorkin</t>
        </is>
      </c>
      <c r="C16" s="28" t="n">
        <v>2009</v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15" t="n"/>
      <c r="N16" s="16" t="n"/>
      <c r="O16" s="54" t="n"/>
      <c r="Q16" s="28" t="n"/>
      <c r="S16" s="28" t="inlineStr">
        <is>
          <t xml:space="preserve"> </t>
        </is>
      </c>
    </row>
    <row r="17">
      <c r="A17" s="28" t="inlineStr">
        <is>
          <t>jp_morgan</t>
        </is>
      </c>
      <c r="B17" s="28" t="inlineStr">
        <is>
          <t>martin</t>
        </is>
      </c>
      <c r="C17" s="28" t="n">
        <v>2022</v>
      </c>
      <c r="D17" s="28" t="n"/>
      <c r="E17" s="28" t="n">
        <v>300</v>
      </c>
      <c r="F17" s="28" t="n">
        <v>7</v>
      </c>
      <c r="G17" s="28" t="n">
        <v>300</v>
      </c>
      <c r="H17" s="28" t="n">
        <v>6</v>
      </c>
      <c r="I17" s="28" t="n"/>
      <c r="J17" s="26" t="inlineStr">
        <is>
          <t>https://drive.google.com/drive/folders/1ScccByby141iAAgGYvl4E-BH_tHjWSqj</t>
        </is>
      </c>
      <c r="K17" s="26" t="inlineStr">
        <is>
          <t>https://play.google.com/books/reader?id=gPwSPQAAAEAJ&amp;pg=GBS.PA</t>
        </is>
      </c>
      <c r="L17" s="28" t="n">
        <v>990</v>
      </c>
      <c r="M17" s="15">
        <f>L17-G17</f>
        <v/>
      </c>
      <c r="N17" s="16">
        <f>G17/L17</f>
        <v/>
      </c>
      <c r="O17" s="54">
        <f>IFERROR((((1-N17)*Q17)*1000)/$O$5/60, "")</f>
        <v/>
      </c>
      <c r="Q17" s="28" t="n">
        <v>175</v>
      </c>
      <c r="R17" s="26" t="inlineStr">
        <is>
          <t>https://dokumen.pub/jp-morgan-amp-co-and-the-crisis-of-capitalism-from-the-wall-street-crash-to-world-war-ii-9781108653602-9781108498371.html</t>
        </is>
      </c>
      <c r="S17" s="28" t="inlineStr">
        <is>
          <t xml:space="preserve"> </t>
        </is>
      </c>
    </row>
    <row r="18">
      <c r="A18" s="28" t="inlineStr">
        <is>
          <t>common sense</t>
        </is>
      </c>
      <c r="B18" s="28" t="inlineStr">
        <is>
          <t>paine</t>
        </is>
      </c>
      <c r="C18" s="28" t="n">
        <v>1775</v>
      </c>
      <c r="D18" s="28" t="n"/>
      <c r="E18" s="28" t="n">
        <v>5</v>
      </c>
      <c r="F18" s="28" t="n"/>
      <c r="G18" s="28" t="n">
        <v>5</v>
      </c>
      <c r="H18" s="28" t="n">
        <v>6</v>
      </c>
      <c r="I18" s="28" t="n"/>
      <c r="J18" s="26" t="inlineStr">
        <is>
          <t>https://drive.google.com/drive/folders/1Wn3XK-y0DRAN8cxTPD026ckBfTfdXTJP</t>
        </is>
      </c>
      <c r="K18" s="26" t="inlineStr">
        <is>
          <t>https://play.google.com/books/reader?id=ftUEPQAAAEAJ</t>
        </is>
      </c>
      <c r="L18" s="28" t="n">
        <v>70</v>
      </c>
      <c r="M18" s="15">
        <f>L18-G18</f>
        <v/>
      </c>
      <c r="N18" s="16">
        <f>G18/L18</f>
        <v/>
      </c>
      <c r="O18" s="54">
        <f>IFERROR((((1-N18)*Q18)*1000)/$O$5/60, "")</f>
        <v/>
      </c>
      <c r="Q18" s="28" t="n">
        <v>167</v>
      </c>
      <c r="R18" s="26" t="inlineStr">
        <is>
          <t>https://www.gutenberg.org/ebooks/147</t>
        </is>
      </c>
      <c r="S18" s="28" t="inlineStr">
        <is>
          <t xml:space="preserve"> </t>
        </is>
      </c>
    </row>
    <row r="19">
      <c r="A19" s="28" t="inlineStr">
        <is>
          <t>finance</t>
        </is>
      </c>
      <c r="B19" s="28" t="inlineStr">
        <is>
          <t>libby</t>
        </is>
      </c>
      <c r="C19" s="28" t="inlineStr">
        <is>
          <t>idk..?</t>
        </is>
      </c>
      <c r="D19" s="28" t="n"/>
      <c r="E19" s="28" t="n">
        <v>46</v>
      </c>
      <c r="F19" s="28" t="n"/>
      <c r="G19" s="28" t="n">
        <v>46</v>
      </c>
      <c r="H19" s="28" t="n"/>
      <c r="I19" s="28" t="n"/>
      <c r="J19" s="28" t="n"/>
      <c r="K19" s="26" t="inlineStr">
        <is>
          <t>https://dl.icdst.org/pdfs/files3/4e8ad0e1692a3ead1bf12e88465da1a9.pdf</t>
        </is>
      </c>
      <c r="L19" s="28" t="n">
        <v>904</v>
      </c>
      <c r="M19" s="15">
        <f>L19-G19</f>
        <v/>
      </c>
      <c r="N19" s="16">
        <f>G19/L19</f>
        <v/>
      </c>
      <c r="O19" s="54">
        <f>IFERROR((((1-N19)*Q19)*1000)/$O$5/60, "")</f>
        <v/>
      </c>
      <c r="Q19" s="28" t="n">
        <v>167</v>
      </c>
      <c r="S19" s="28" t="inlineStr">
        <is>
          <t xml:space="preserve"> </t>
        </is>
      </c>
    </row>
    <row r="20">
      <c r="A20" s="10" t="inlineStr">
        <is>
          <t>grant</t>
        </is>
      </c>
      <c r="B20" s="28" t="inlineStr">
        <is>
          <t>grant</t>
        </is>
      </c>
      <c r="C20" s="28" t="n">
        <v>1885</v>
      </c>
      <c r="D20" s="28" t="n"/>
      <c r="E20" s="28" t="n">
        <v>167</v>
      </c>
      <c r="F20" s="28" t="n">
        <v>6</v>
      </c>
      <c r="G20" s="28" t="n">
        <v>167</v>
      </c>
      <c r="H20" s="28" t="n">
        <v>61</v>
      </c>
      <c r="I20" s="28" t="n"/>
      <c r="J20" s="38" t="inlineStr">
        <is>
          <t>https://drive.google.com/drive/folders/1gWwbUPc4oguCXUCt56jsioiLF9vAtrRO</t>
        </is>
      </c>
      <c r="K20" s="38" t="inlineStr">
        <is>
          <t>https://play.google.com/books/reader?id=NYD3PAAAAEAJ&amp;pg=GBS.PA160.w.0.0.0.4_17</t>
        </is>
      </c>
      <c r="L20" s="28" t="n">
        <v>900</v>
      </c>
      <c r="M20" s="15">
        <f>L20-G20</f>
        <v/>
      </c>
      <c r="N20" s="16">
        <f>G20/L20</f>
        <v/>
      </c>
      <c r="O20" s="54">
        <f>IFERROR((((1-N20)*Q20)*1000)/$O$5/60, "")</f>
        <v/>
      </c>
      <c r="Q20" s="28" t="n">
        <v>270</v>
      </c>
      <c r="S20" s="28" t="inlineStr">
        <is>
          <t xml:space="preserve"> </t>
        </is>
      </c>
    </row>
    <row r="21">
      <c r="A21" s="22" t="inlineStr">
        <is>
          <t>bolshevism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15" t="n"/>
      <c r="N21" s="16" t="n"/>
      <c r="O21" s="54" t="n"/>
      <c r="Q21" s="28" t="n"/>
      <c r="S21" s="28" t="inlineStr">
        <is>
          <t xml:space="preserve"> </t>
        </is>
      </c>
    </row>
    <row r="22">
      <c r="A22" s="0" t="inlineStr">
        <is>
          <t>state and revolution</t>
        </is>
      </c>
      <c r="B22" s="0" t="inlineStr">
        <is>
          <t xml:space="preserve">lenin </t>
        </is>
      </c>
      <c r="C22" s="29" t="n">
        <v>1917</v>
      </c>
      <c r="D22" s="15" t="n"/>
      <c r="E22" s="15" t="n">
        <v>37</v>
      </c>
      <c r="F22" s="15" t="n"/>
      <c r="G22" s="15" t="n">
        <v>37</v>
      </c>
      <c r="H22" s="15" t="n"/>
      <c r="I22" s="15" t="n"/>
      <c r="J22" s="15" t="n"/>
      <c r="K22" s="39" t="inlineStr">
        <is>
          <t>https://play.google.com/books/reader?id=47PGPAAAAEAJ&amp;pg=GBS.PA36_310</t>
        </is>
      </c>
      <c r="L22" s="15" t="n">
        <v>133</v>
      </c>
      <c r="M22" s="15">
        <f>L22-G22</f>
        <v/>
      </c>
      <c r="N22" s="16">
        <f>G22/L22</f>
        <v/>
      </c>
      <c r="O22" s="54">
        <f>IFERROR((((1-N22)*Q22)*1000)/$O$5/60, "")</f>
        <v/>
      </c>
      <c r="P22" s="54">
        <f>IFERROR((((1-#REF!)*Q22)/$P$5/60), "")</f>
        <v/>
      </c>
      <c r="Q22" s="10" t="n">
        <v>40</v>
      </c>
      <c r="R22" s="14" t="inlineStr">
        <is>
          <t>https://play.google.com/books/reader?id=MSGzPAAAAEAJ&amp;pg=GBS.PA8</t>
        </is>
      </c>
      <c r="S22" s="28" t="inlineStr">
        <is>
          <t xml:space="preserve"> </t>
        </is>
      </c>
      <c r="T22" s="10" t="n"/>
      <c r="W22" s="10" t="n"/>
    </row>
    <row r="23">
      <c r="A23" s="0" t="inlineStr">
        <is>
          <t>imperialism</t>
        </is>
      </c>
      <c r="B23" s="0" t="inlineStr">
        <is>
          <t xml:space="preserve">lenin </t>
        </is>
      </c>
      <c r="C23" s="29" t="n">
        <v>1917</v>
      </c>
      <c r="D23" s="15" t="n"/>
      <c r="E23" s="15" t="n">
        <v>39</v>
      </c>
      <c r="F23" s="15" t="n"/>
      <c r="G23" s="15" t="n">
        <v>39</v>
      </c>
      <c r="H23" s="15" t="n"/>
      <c r="I23" s="15" t="n"/>
      <c r="J23" s="15" t="n"/>
      <c r="K23" s="39" t="inlineStr">
        <is>
          <t>https://play.google.com/books/reader?id=W-nGPAAAAEAJ</t>
        </is>
      </c>
      <c r="L23" s="15" t="n">
        <v>253</v>
      </c>
      <c r="M23" s="15">
        <f>L23-G23</f>
        <v/>
      </c>
      <c r="N23" s="16">
        <f>G23/L23</f>
        <v/>
      </c>
      <c r="O23" s="54">
        <f>IFERROR((((1-N23)*Q23)*1000)/$O$5/60, "")</f>
        <v/>
      </c>
      <c r="P23" s="54">
        <f>IFERROR((((1-#REF!)*Q23)/$P$5/60), "")</f>
        <v/>
      </c>
      <c r="Q23" s="10" t="n">
        <v>40</v>
      </c>
      <c r="R23" s="14" t="inlineStr">
        <is>
          <t>https://play.google.com/books/reader?id=MyGzPAAAAEAJ&amp;pg=GBS.PA26</t>
        </is>
      </c>
      <c r="S23" s="28" t="inlineStr">
        <is>
          <t xml:space="preserve"> </t>
        </is>
      </c>
      <c r="T23" s="10" t="n"/>
      <c r="W23" s="10" t="n"/>
    </row>
    <row r="24">
      <c r="A24" s="22" t="inlineStr">
        <is>
          <t>imperialists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15" t="n"/>
      <c r="N24" s="16" t="n"/>
      <c r="O24" s="54" t="n"/>
      <c r="Q24" s="28" t="n"/>
      <c r="S24" s="28" t="inlineStr">
        <is>
          <t xml:space="preserve"> </t>
        </is>
      </c>
    </row>
    <row r="25">
      <c r="A25" s="0" t="inlineStr">
        <is>
          <t>ochrana</t>
        </is>
      </c>
      <c r="C25" s="29" t="n">
        <v>1917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6" t="n"/>
      <c r="O25" s="54">
        <f>IFERROR(((1-#REF!)*(Q25*1000))/$O$5/60, "")
</f>
        <v/>
      </c>
      <c r="P25" s="54">
        <f>IFERROR((((1-#REF!)*Q25)/$P$5/60), "")</f>
        <v/>
      </c>
      <c r="Q25" s="10" t="n"/>
      <c r="R25" s="14" t="inlineStr">
        <is>
          <t>https://dn720006.ca.archive.org/0/items/ochranarussianse0000atva/ochranarussianse0000atva.pdf</t>
        </is>
      </c>
      <c r="S25" s="28" t="inlineStr">
        <is>
          <t xml:space="preserve"> </t>
        </is>
      </c>
      <c r="T25" s="10" t="n"/>
      <c r="W25" s="10" t="n"/>
    </row>
    <row r="26">
      <c r="A26" s="0" t="inlineStr">
        <is>
          <t>medici money</t>
        </is>
      </c>
      <c r="C26" s="29" t="n">
        <v>2006</v>
      </c>
      <c r="D26" s="15" t="n"/>
      <c r="E26" s="15" t="n">
        <v>38</v>
      </c>
      <c r="F26" s="15" t="n"/>
      <c r="G26" s="15" t="n">
        <v>38</v>
      </c>
      <c r="H26" s="15" t="n"/>
      <c r="I26" s="15" t="n"/>
      <c r="J26" s="15" t="n"/>
      <c r="K26" s="39" t="inlineStr">
        <is>
          <t>https://play.google.com/books/reader?id=4LXGPAAAAEAJ&amp;pg=GBS.PA37_71</t>
        </is>
      </c>
      <c r="L26" s="15" t="n">
        <v>241</v>
      </c>
      <c r="M26" s="15">
        <f>L26-G26</f>
        <v/>
      </c>
      <c r="N26" s="16">
        <f>G26/L26</f>
        <v/>
      </c>
      <c r="O26" s="54">
        <f>IFERROR((((1-N26)*Q26)*1000)/$O$5/60, "")</f>
        <v/>
      </c>
      <c r="P26" s="54">
        <f>IFERROR((((1-#REF!)*Q26)/$P$5/60), "")</f>
        <v/>
      </c>
      <c r="Q26" s="10" t="n">
        <v>75</v>
      </c>
      <c r="R26" s="10" t="n"/>
      <c r="S26" s="28" t="inlineStr">
        <is>
          <t xml:space="preserve"> </t>
        </is>
      </c>
      <c r="T26" s="10" t="n"/>
      <c r="W26" s="10" t="n"/>
    </row>
    <row r="27">
      <c r="A27" s="0" t="inlineStr">
        <is>
          <t>practical idealism</t>
        </is>
      </c>
      <c r="B27" s="0" t="inlineStr">
        <is>
          <t>kalergi</t>
        </is>
      </c>
      <c r="C27" s="29" t="n">
        <v>1925</v>
      </c>
      <c r="D27" s="15" t="n"/>
      <c r="E27" s="15" t="n">
        <v>38</v>
      </c>
      <c r="F27" s="15" t="n"/>
      <c r="G27" s="15" t="n">
        <v>38</v>
      </c>
      <c r="H27" s="15" t="n"/>
      <c r="I27" s="15" t="n"/>
      <c r="J27" s="15" t="n"/>
      <c r="K27" s="39" t="inlineStr">
        <is>
          <t>https://play.google.com/books/reader?id=8u7GPAAAAEAJ&amp;pg=GBS.PA38</t>
        </is>
      </c>
      <c r="L27" s="15" t="n">
        <v>213</v>
      </c>
      <c r="M27" s="15">
        <f>L27-G27</f>
        <v/>
      </c>
      <c r="N27" s="16">
        <f>G27/L27</f>
        <v/>
      </c>
      <c r="O27" s="54">
        <f>IFERROR((((1-N27)*Q27)*1000)/$O$5/60, "")</f>
        <v/>
      </c>
      <c r="P27" s="54">
        <f>IFERROR((((1-#REF!)*Q27)/$P$5/60), "")</f>
        <v/>
      </c>
      <c r="Q27" s="10" t="n">
        <v>44</v>
      </c>
      <c r="R27" s="14" t="inlineStr">
        <is>
          <t>https://play.google.com/books/reader?id=sPCuPAAAAEAJ&amp;pg=GBS.PA33</t>
        </is>
      </c>
      <c r="S27" s="28" t="inlineStr">
        <is>
          <t xml:space="preserve"> </t>
        </is>
      </c>
      <c r="T27" s="10" t="n"/>
      <c r="W27" s="10" t="n"/>
    </row>
    <row r="28">
      <c r="A28" s="22" t="inlineStr">
        <is>
          <t>ww2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6" t="n"/>
      <c r="O28" s="54" t="n"/>
      <c r="P28" s="54" t="n"/>
      <c r="Q28" s="10" t="n"/>
      <c r="R28" s="10" t="n"/>
      <c r="S28" s="28" t="inlineStr">
        <is>
          <t xml:space="preserve"> </t>
        </is>
      </c>
      <c r="T28" s="10" t="n"/>
      <c r="W28" s="10" t="n"/>
    </row>
    <row r="29">
      <c r="A29" s="0" t="inlineStr">
        <is>
          <t>waffen</t>
        </is>
      </c>
      <c r="C29" s="15" t="n"/>
      <c r="D29" s="15" t="n"/>
      <c r="E29" s="15" t="n">
        <v>51</v>
      </c>
      <c r="F29" s="15" t="n"/>
      <c r="G29" s="15" t="n">
        <v>51</v>
      </c>
      <c r="H29" s="15" t="n"/>
      <c r="I29" s="15" t="n"/>
      <c r="J29" s="15" t="n"/>
      <c r="K29" s="39" t="inlineStr">
        <is>
          <t>https://play.google.com/books/reader?id=VfvGPAAAAEAJ&amp;pg=GBS.PA51</t>
        </is>
      </c>
      <c r="L29" s="15" t="n">
        <v>700</v>
      </c>
      <c r="M29" s="15">
        <f>L29-G29</f>
        <v/>
      </c>
      <c r="N29" s="16">
        <f>G29/L29</f>
        <v/>
      </c>
      <c r="O29" s="54">
        <f>IFERROR((((1-N29)*Q29)*1000)/$O$5/60, "")</f>
        <v/>
      </c>
      <c r="P29" s="54">
        <f>IFERROR((((1-#REF!)*Q29)/$P$5/60), "")</f>
        <v/>
      </c>
      <c r="Q29" s="10" t="n"/>
      <c r="R29" s="14" t="inlineStr">
        <is>
          <t>https://drive.google.com/drive/</t>
        </is>
      </c>
      <c r="S29" s="28" t="inlineStr">
        <is>
          <t xml:space="preserve"> </t>
        </is>
      </c>
      <c r="T29" s="10" t="n"/>
      <c r="W29" s="10" t="n"/>
    </row>
    <row r="30">
      <c r="A30" s="47" t="inlineStr">
        <is>
          <t>mein kampf</t>
        </is>
      </c>
      <c r="B30" s="47" t="inlineStr">
        <is>
          <t>hitler</t>
        </is>
      </c>
      <c r="C30" s="44" t="n">
        <v>1925</v>
      </c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15">
        <f>L30-G30</f>
        <v/>
      </c>
      <c r="N30" s="16">
        <f>G30/L30</f>
        <v/>
      </c>
      <c r="O30" s="54">
        <f>IFERROR((((1-N30)*Q30)*1000)/$O$5/60, "")</f>
        <v/>
      </c>
      <c r="P30" s="46">
        <f>IFERROR((((1-#REF!)*Q30)/$P$5/60), "")</f>
        <v/>
      </c>
      <c r="Q30" s="47" t="n">
        <v>250</v>
      </c>
      <c r="R30" s="48" t="inlineStr">
        <is>
          <t>https://app.luminpdf.com/viewer/6a43d12bb73797f7f04926e2?credentials-id=cdb9ff29-060e-4ef3-a802-62338912642d&amp;can-join-workspace=false&amp;from=drive</t>
        </is>
      </c>
      <c r="S30" s="28" t="inlineStr">
        <is>
          <t xml:space="preserve"> </t>
        </is>
      </c>
      <c r="T30" s="47" t="n"/>
      <c r="U30" s="47" t="n"/>
      <c r="V30" s="47" t="n"/>
      <c r="W30" s="47" t="n"/>
    </row>
    <row r="31">
      <c r="A31" s="10" t="inlineStr">
        <is>
          <t>corp law</t>
        </is>
      </c>
      <c r="B31" s="10" t="n"/>
      <c r="C31" s="15" t="n"/>
      <c r="D31" s="15" t="n"/>
      <c r="E31" s="15" t="n">
        <v>6</v>
      </c>
      <c r="F31" s="15" t="n"/>
      <c r="G31" s="15" t="n">
        <v>6</v>
      </c>
      <c r="H31" s="15" t="n"/>
      <c r="I31" s="15" t="n"/>
      <c r="J31" s="15" t="inlineStr">
        <is>
          <t>?</t>
        </is>
      </c>
      <c r="K31" s="39" t="inlineStr">
        <is>
          <t>https://play.google.com/books/reader?id=cADbPAAAAEAJ&amp;pg=GBS.PA6</t>
        </is>
      </c>
      <c r="L31" s="15" t="n">
        <v>2088</v>
      </c>
      <c r="M31" s="15">
        <f>L31-G31</f>
        <v/>
      </c>
      <c r="N31" s="16" t="n"/>
      <c r="O31" s="54">
        <f>IFERROR((((1-N31)*Q31)*1000)/$O$5/60, "")</f>
        <v/>
      </c>
      <c r="P31" s="54" t="n"/>
      <c r="Q31" s="10" t="n"/>
      <c r="R31" s="10" t="n"/>
      <c r="S31" s="28" t="inlineStr">
        <is>
          <t xml:space="preserve"> </t>
        </is>
      </c>
      <c r="T31" s="10" t="n"/>
      <c r="W31" s="10" t="n"/>
    </row>
    <row r="32">
      <c r="A32" s="0" t="inlineStr">
        <is>
          <t>how the other half</t>
        </is>
      </c>
      <c r="B32" s="0" t="inlineStr">
        <is>
          <t>riis</t>
        </is>
      </c>
      <c r="C32" s="29" t="n">
        <v>1890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>
        <f>L32-G32</f>
        <v/>
      </c>
      <c r="N32" s="16">
        <f>G32/L32</f>
        <v/>
      </c>
      <c r="O32" s="54">
        <f>IFERROR((((1-N32)*Q32)*1000)/$O$5/60, "")</f>
        <v/>
      </c>
      <c r="P32" s="54">
        <f>IFERROR((((1-#REF!)*Q32)/$P$5/60), "")</f>
        <v/>
      </c>
      <c r="Q32" s="10" t="n"/>
      <c r="R32" s="14" t="inlineStr">
        <is>
          <t>https://blogs.ubc.ca/fafa/files/2020/01/Riis_How-the-Other-Half-Lives.pdf</t>
        </is>
      </c>
      <c r="S32" s="28" t="inlineStr">
        <is>
          <t xml:space="preserve"> </t>
        </is>
      </c>
      <c r="T32" s="10" t="n"/>
      <c r="W32" s="10" t="n"/>
    </row>
    <row r="33">
      <c r="A33" s="0" t="inlineStr">
        <is>
          <t>swiss republic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>
        <f>L33-G33</f>
        <v/>
      </c>
      <c r="N33" s="16">
        <f>G33/L33</f>
        <v/>
      </c>
      <c r="O33" s="54">
        <f>IFERROR((((1-N33)*Q33)*1000)/$O$5/60, "")</f>
        <v/>
      </c>
      <c r="P33" s="54">
        <f>IFERROR((((1-#REF!)*Q33)/$P$5/60), "")</f>
        <v/>
      </c>
      <c r="Q33" s="10" t="n"/>
      <c r="R33" s="14" t="inlineStr">
        <is>
          <t>https://books.google.com/books/about/The_Swiss_Republic.html?id=j51UjqqwfhgC</t>
        </is>
      </c>
      <c r="S33" s="28" t="inlineStr">
        <is>
          <t xml:space="preserve"> </t>
        </is>
      </c>
      <c r="T33" s="10" t="n"/>
      <c r="W33" s="10" t="n"/>
    </row>
    <row r="34">
      <c r="A34" s="0" t="inlineStr">
        <is>
          <t>rep migration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>
        <f>L34-G34</f>
        <v/>
      </c>
      <c r="N34" s="16">
        <f>G34/L34</f>
        <v/>
      </c>
      <c r="O34" s="54">
        <f>IFERROR((((1-N34)*Q34)*1000)/$O$5/60, "")</f>
        <v/>
      </c>
      <c r="P34" s="54">
        <f>IFERROR((((1-#REF!)*Q34)/$P$5/60), "")</f>
        <v/>
      </c>
      <c r="Q34" s="10" t="n"/>
      <c r="R34" s="14" t="inlineStr">
        <is>
          <t>https://digitallibrary.un.org/record/412547?ln=en&amp;v=pdf</t>
        </is>
      </c>
      <c r="S34" s="28" t="inlineStr">
        <is>
          <t xml:space="preserve"> </t>
        </is>
      </c>
      <c r="T34" s="10" t="n"/>
      <c r="U34" s="10" t="n"/>
      <c r="V34" s="10" t="n"/>
      <c r="W34" s="10" t="n"/>
    </row>
    <row r="35">
      <c r="A35" s="22" t="n"/>
      <c r="C35" s="50" t="n"/>
      <c r="D35" s="50" t="n"/>
      <c r="E35" s="50" t="n"/>
      <c r="G35" s="50" t="n"/>
      <c r="H35" s="50" t="n"/>
      <c r="I35" s="50" t="n"/>
      <c r="J35" s="50" t="n"/>
      <c r="K35" s="50" t="n"/>
      <c r="L35" s="50" t="n"/>
      <c r="M35" s="15" t="n"/>
      <c r="N35" s="16" t="n"/>
      <c r="O35" s="54" t="n"/>
      <c r="P35" s="54" t="n"/>
      <c r="R35" s="10" t="n"/>
      <c r="S35" s="28" t="inlineStr">
        <is>
          <t xml:space="preserve"> </t>
        </is>
      </c>
      <c r="T35" s="10" t="n"/>
      <c r="U35" s="10" t="n"/>
      <c r="V35" s="10" t="n"/>
      <c r="W35" s="10" t="n"/>
    </row>
    <row r="36">
      <c r="A36" s="22" t="inlineStr">
        <is>
          <t>wtf is anarchism?</t>
        </is>
      </c>
      <c r="C36" s="50" t="n"/>
      <c r="D36" s="50" t="n"/>
      <c r="E36" s="50" t="n"/>
      <c r="G36" s="50" t="n"/>
      <c r="H36" s="50" t="n"/>
      <c r="I36" s="50" t="n"/>
      <c r="J36" s="50" t="n"/>
      <c r="K36" s="50" t="n"/>
      <c r="L36" s="50" t="n"/>
      <c r="M36" s="15" t="n"/>
      <c r="N36" s="16" t="n"/>
      <c r="O36" s="54" t="n"/>
      <c r="P36" s="54" t="n"/>
      <c r="R36" s="10" t="n"/>
      <c r="S36" s="28" t="inlineStr">
        <is>
          <t xml:space="preserve"> </t>
        </is>
      </c>
      <c r="T36" s="10" t="n"/>
      <c r="U36" s="10" t="n"/>
      <c r="V36" s="10" t="n"/>
      <c r="W36" s="10" t="n"/>
    </row>
    <row r="37">
      <c r="A37" s="0" t="inlineStr">
        <is>
          <t>conquest of bread</t>
        </is>
      </c>
      <c r="B37" s="50" t="inlineStr">
        <is>
          <t>Kropotkin</t>
        </is>
      </c>
      <c r="C37" s="29" t="n">
        <v>1892</v>
      </c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15" t="n"/>
      <c r="N37" s="16">
        <f>G37/L37</f>
        <v/>
      </c>
      <c r="O37" s="54">
        <f>(((1-N37)*Q37)*1000)/$O$5/60</f>
        <v/>
      </c>
      <c r="P37" s="54">
        <f>IFERROR((((1-#REF!)*Q37)/$P$5/60), "")</f>
        <v/>
      </c>
      <c r="Q37" s="12" t="n">
        <v>90</v>
      </c>
      <c r="R37" s="10" t="inlineStr">
        <is>
          <t>gutenberg</t>
        </is>
      </c>
      <c r="S37" s="28" t="inlineStr">
        <is>
          <t xml:space="preserve"> </t>
        </is>
      </c>
      <c r="T37" s="10" t="n"/>
      <c r="U37" s="10" t="n"/>
      <c r="V37" s="10" t="n"/>
      <c r="W37" s="10" t="n"/>
    </row>
    <row r="38">
      <c r="A38" s="0" t="inlineStr">
        <is>
          <t>mutual aid</t>
        </is>
      </c>
      <c r="B38" s="50" t="inlineStr">
        <is>
          <t>Kropotkin</t>
        </is>
      </c>
      <c r="C38" s="29" t="n">
        <v>1902</v>
      </c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15" t="n"/>
      <c r="N38" s="16">
        <f>G38/L38</f>
        <v/>
      </c>
      <c r="O38" s="54">
        <f>IFERROR(((1-#REF!)*(Q38*1000))/$O$5/60, "")
</f>
        <v/>
      </c>
      <c r="P38" s="54">
        <f>IFERROR((((1-#REF!)*Q38)/$P$5/60), "")</f>
        <v/>
      </c>
      <c r="Q38" s="12" t="n">
        <v>98</v>
      </c>
      <c r="R38" s="10" t="inlineStr">
        <is>
          <t>gutenberg</t>
        </is>
      </c>
      <c r="S38" s="28" t="inlineStr">
        <is>
          <t xml:space="preserve"> </t>
        </is>
      </c>
      <c r="T38" s="10" t="n"/>
      <c r="U38" s="10" t="n"/>
      <c r="V38" s="10" t="n"/>
      <c r="W38" s="10" t="n"/>
    </row>
    <row r="39">
      <c r="A39" s="0" t="inlineStr">
        <is>
          <t>god and state</t>
        </is>
      </c>
      <c r="B39" s="10" t="inlineStr">
        <is>
          <t>Bakunin</t>
        </is>
      </c>
      <c r="C39" s="29" t="n">
        <v>1882</v>
      </c>
      <c r="D39" s="50" t="n"/>
      <c r="E39" s="50" t="n">
        <v>4</v>
      </c>
      <c r="F39" s="50" t="n"/>
      <c r="G39" s="50" t="n">
        <v>4</v>
      </c>
      <c r="H39" s="50" t="n"/>
      <c r="I39" s="50" t="n"/>
      <c r="J39" s="50" t="n"/>
      <c r="K39" s="50" t="n"/>
      <c r="L39" s="50" t="n">
        <v>107</v>
      </c>
      <c r="M39" s="15" t="n"/>
      <c r="N39" s="16">
        <f>G39/L39</f>
        <v/>
      </c>
      <c r="O39" s="54">
        <f>IFERROR(((1-#REF!)*(Q39*1000))/$O$5/60, "")
</f>
        <v/>
      </c>
      <c r="P39" s="54">
        <f>IFERROR((((1-#REF!)*Q39)/$P$5/60), "")</f>
        <v/>
      </c>
      <c r="Q39" s="51" t="n">
        <v>25</v>
      </c>
      <c r="R39" s="10" t="inlineStr">
        <is>
          <t>gutenberg</t>
        </is>
      </c>
      <c r="S39" s="28" t="inlineStr">
        <is>
          <t xml:space="preserve"> </t>
        </is>
      </c>
      <c r="T39" s="10" t="n"/>
      <c r="U39" s="10" t="n"/>
      <c r="V39" s="10" t="n"/>
      <c r="W39" s="10" t="n"/>
    </row>
    <row r="40"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2" t="n"/>
      <c r="O40" s="53" t="n"/>
      <c r="P40" s="53" t="n"/>
      <c r="R40" s="10" t="n"/>
      <c r="S40" s="28" t="inlineStr">
        <is>
          <t xml:space="preserve"> </t>
        </is>
      </c>
      <c r="T40" s="10" t="n"/>
      <c r="U40" s="10" t="n"/>
      <c r="V40" s="10" t="n"/>
      <c r="W40" s="10" t="n"/>
    </row>
    <row r="41">
      <c r="A41" s="22" t="inlineStr">
        <is>
          <t>too look at/find?</t>
        </is>
      </c>
      <c r="B41" s="10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6" t="n"/>
      <c r="O41" s="54" t="n"/>
      <c r="P41" s="54" t="n"/>
      <c r="Q41" s="10" t="n"/>
      <c r="R41" s="10" t="n"/>
      <c r="S41" s="28" t="inlineStr">
        <is>
          <t xml:space="preserve"> </t>
        </is>
      </c>
      <c r="T41" s="10" t="n"/>
      <c r="U41" s="10" t="n"/>
      <c r="V41" s="10" t="n"/>
      <c r="W41" s="10" t="n"/>
    </row>
    <row r="42">
      <c r="A42" s="0" t="inlineStr">
        <is>
          <t>jews+bolsheviks</t>
        </is>
      </c>
      <c r="B42" s="10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6" t="n"/>
      <c r="O42" s="54" t="n"/>
      <c r="P42" s="54" t="n"/>
      <c r="Q42" s="10" t="n"/>
      <c r="R42" s="10" t="n"/>
      <c r="S42" s="28" t="inlineStr">
        <is>
          <t xml:space="preserve"> </t>
        </is>
      </c>
      <c r="T42" s="10" t="n"/>
      <c r="U42" s="10" t="n"/>
      <c r="V42" s="10" t="n"/>
      <c r="W42" s="10" t="n"/>
    </row>
    <row r="43">
      <c r="A43" s="32" t="inlineStr">
        <is>
          <t>Epub three capitals trip to red russia shulgin</t>
        </is>
      </c>
      <c r="B43" s="10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6" t="n"/>
      <c r="O43" s="54" t="n"/>
      <c r="P43" s="54" t="n"/>
      <c r="Q43" s="10" t="n"/>
      <c r="R43" s="10" t="n"/>
      <c r="S43" s="28" t="inlineStr">
        <is>
          <t xml:space="preserve"> </t>
        </is>
      </c>
      <c r="T43" s="10" t="n"/>
      <c r="U43" s="10" t="n"/>
      <c r="V43" s="10" t="n"/>
      <c r="W43" s="10" t="n"/>
    </row>
    <row r="44">
      <c r="A44" s="32" t="inlineStr">
        <is>
          <t>Epub Medicare for all bill</t>
        </is>
      </c>
      <c r="B44" s="10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6" t="n"/>
      <c r="O44" s="54" t="n"/>
      <c r="P44" s="54" t="n"/>
      <c r="Q44" s="10" t="n"/>
      <c r="R44" s="10" t="n"/>
      <c r="S44" s="28" t="inlineStr">
        <is>
          <t xml:space="preserve"> </t>
        </is>
      </c>
      <c r="T44" s="10" t="n"/>
      <c r="U44" s="10" t="n"/>
      <c r="V44" s="10" t="n"/>
      <c r="W44" s="10" t="n"/>
    </row>
    <row r="45">
      <c r="A45" s="32" t="inlineStr">
        <is>
          <t>Epub beyer pr voting Bill</t>
        </is>
      </c>
      <c r="B45" s="2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6" t="n"/>
      <c r="O45" s="57" t="n"/>
      <c r="P45" s="57" t="n"/>
      <c r="Q45" s="25" t="n"/>
      <c r="R45" s="10" t="n"/>
      <c r="S45" s="28" t="inlineStr">
        <is>
          <t xml:space="preserve"> </t>
        </is>
      </c>
      <c r="T45" s="10" t="n"/>
      <c r="U45" s="10" t="n"/>
      <c r="V45" s="10" t="n"/>
      <c r="W45" s="10" t="n"/>
    </row>
    <row r="46">
      <c r="A46" s="32" t="inlineStr">
        <is>
          <t>The Secret Dossier: My memoirs of Russia’s political underworld</t>
        </is>
      </c>
      <c r="B46" s="2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6" t="n"/>
      <c r="O46" s="57" t="n"/>
      <c r="P46" s="57" t="n"/>
      <c r="Q46" s="25" t="n"/>
      <c r="R46" s="10" t="n"/>
      <c r="S46" s="28" t="inlineStr">
        <is>
          <t xml:space="preserve"> </t>
        </is>
      </c>
      <c r="T46" s="10" t="n"/>
      <c r="U46" s="10" t="n"/>
      <c r="V46" s="10" t="n"/>
      <c r="W46" s="10" t="n"/>
    </row>
    <row r="47">
      <c r="A47" s="25" t="n"/>
      <c r="B47" s="25" t="n"/>
      <c r="C47" s="50" t="n"/>
      <c r="D47" s="50" t="n"/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2" t="n"/>
      <c r="O47" s="57" t="n"/>
      <c r="P47" s="57" t="n"/>
      <c r="R47" s="10" t="n"/>
      <c r="S47" s="28" t="inlineStr">
        <is>
          <t xml:space="preserve"> </t>
        </is>
      </c>
      <c r="T47" s="10" t="n"/>
      <c r="U47" s="10" t="n"/>
      <c r="V47" s="10" t="n"/>
      <c r="W47" s="10" t="n"/>
    </row>
    <row r="48"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2" t="n"/>
      <c r="O48" s="53" t="n"/>
      <c r="P48" s="53" t="n"/>
      <c r="R48" s="10" t="n"/>
      <c r="S48" s="28" t="inlineStr">
        <is>
          <t xml:space="preserve"> </t>
        </is>
      </c>
      <c r="T48" s="10" t="n"/>
      <c r="U48" s="10" t="n"/>
      <c r="V48" s="10" t="n"/>
      <c r="W48" s="10" t="n"/>
    </row>
    <row r="49"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8" t="n"/>
      <c r="N49" s="59" t="n"/>
      <c r="O49" s="53" t="n"/>
      <c r="P49" s="53" t="n"/>
      <c r="Q49" s="51" t="n"/>
      <c r="R49" s="10" t="n"/>
      <c r="S49" s="28" t="inlineStr">
        <is>
          <t xml:space="preserve"> </t>
        </is>
      </c>
      <c r="T49" s="10" t="n"/>
      <c r="U49" s="10" t="n"/>
      <c r="V49" s="10" t="n"/>
      <c r="W49" s="10" t="n"/>
    </row>
    <row r="50"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2" t="n"/>
      <c r="O50" s="53" t="n"/>
      <c r="P50" s="53" t="n"/>
      <c r="R50" s="10" t="n"/>
      <c r="S50" s="28" t="inlineStr">
        <is>
          <t xml:space="preserve"> </t>
        </is>
      </c>
      <c r="T50" s="10" t="n"/>
      <c r="U50" s="10" t="n"/>
      <c r="V50" s="10" t="n"/>
      <c r="W50" s="10" t="n"/>
    </row>
    <row r="51"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2" t="n"/>
      <c r="O51" s="53" t="n"/>
      <c r="P51" s="53" t="n"/>
      <c r="R51" s="10" t="n"/>
      <c r="S51" s="10" t="n"/>
      <c r="T51" s="10" t="n"/>
      <c r="U51" s="10" t="n"/>
      <c r="V51" s="10" t="n"/>
      <c r="W51" s="10" t="n"/>
    </row>
    <row r="52">
      <c r="A52" s="10" t="n"/>
      <c r="B52" s="10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6" t="n"/>
      <c r="O52" s="54" t="n"/>
      <c r="P52" s="54" t="n"/>
      <c r="Q52" s="10" t="n"/>
      <c r="R52" s="10" t="n"/>
      <c r="S52" s="10" t="n"/>
      <c r="T52" s="10" t="n"/>
      <c r="U52" s="10" t="n"/>
      <c r="V52" s="10" t="n"/>
      <c r="W52" s="10" t="n"/>
    </row>
    <row r="53">
      <c r="A53" s="10" t="n"/>
      <c r="B53" s="10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6" t="n"/>
      <c r="O53" s="54" t="n"/>
      <c r="P53" s="54" t="n"/>
      <c r="Q53" s="10" t="n"/>
      <c r="R53" s="10" t="n"/>
      <c r="S53" s="10" t="n"/>
      <c r="T53" s="10" t="n"/>
      <c r="U53" s="10" t="n"/>
      <c r="V53" s="10" t="n"/>
      <c r="W53" s="10" t="n"/>
    </row>
    <row r="54">
      <c r="A54" s="10" t="n"/>
      <c r="B54" s="10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6" t="n"/>
      <c r="O54" s="54" t="n"/>
      <c r="P54" s="54" t="n"/>
      <c r="Q54" s="10" t="n"/>
      <c r="R54" s="10" t="n"/>
      <c r="S54" s="10" t="n"/>
      <c r="T54" s="10" t="n"/>
      <c r="U54" s="10" t="n"/>
      <c r="V54" s="10" t="n"/>
      <c r="W54" s="10" t="n"/>
    </row>
    <row r="55">
      <c r="A55" s="10" t="n"/>
      <c r="B55" s="10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6" t="n"/>
      <c r="O55" s="54" t="n"/>
      <c r="P55" s="54" t="n"/>
      <c r="Q55" s="10" t="n"/>
      <c r="R55" s="10" t="n"/>
      <c r="S55" s="10" t="n"/>
      <c r="T55" s="10" t="n"/>
      <c r="U55" s="10" t="n"/>
      <c r="V55" s="10" t="n"/>
      <c r="W55" s="10" t="n"/>
    </row>
    <row r="56">
      <c r="A56" s="10" t="n"/>
      <c r="B56" s="10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6" t="n"/>
      <c r="O56" s="54" t="n"/>
      <c r="P56" s="54" t="n"/>
      <c r="Q56" s="10" t="n"/>
      <c r="R56" s="10" t="n"/>
      <c r="S56" s="10" t="n"/>
      <c r="T56" s="10" t="n"/>
      <c r="U56" s="10" t="n"/>
      <c r="V56" s="10" t="n"/>
      <c r="W56" s="10" t="n"/>
    </row>
    <row r="57">
      <c r="A57" s="10" t="n"/>
      <c r="B57" s="10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6" t="n"/>
      <c r="O57" s="54" t="n"/>
      <c r="P57" s="54" t="n"/>
      <c r="Q57" s="10" t="n"/>
      <c r="R57" s="10" t="n"/>
      <c r="S57" s="10" t="n"/>
      <c r="T57" s="10" t="n"/>
      <c r="U57" s="10" t="n"/>
      <c r="V57" s="10" t="n"/>
      <c r="W57" s="10" t="n"/>
    </row>
    <row r="58">
      <c r="A58" s="10" t="n"/>
      <c r="B58" s="10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6" t="n"/>
      <c r="O58" s="54" t="n"/>
      <c r="P58" s="54" t="n"/>
      <c r="Q58" s="10" t="n"/>
      <c r="R58" s="10" t="n"/>
      <c r="S58" s="10" t="n"/>
      <c r="T58" s="10" t="n"/>
      <c r="U58" s="10" t="n"/>
      <c r="V58" s="10" t="n"/>
      <c r="W58" s="10" t="n"/>
    </row>
    <row r="59">
      <c r="A59" s="10" t="n"/>
      <c r="B59" s="10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6" t="n"/>
      <c r="O59" s="54" t="n"/>
      <c r="P59" s="54" t="n"/>
      <c r="Q59" s="10" t="n"/>
      <c r="R59" s="10" t="n"/>
      <c r="S59" s="10" t="n"/>
      <c r="T59" s="10" t="n"/>
      <c r="U59" s="10" t="n"/>
      <c r="V59" s="10" t="n"/>
      <c r="W59" s="10" t="n"/>
    </row>
    <row r="60">
      <c r="A60" s="10" t="n"/>
      <c r="B60" s="10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6" t="n"/>
      <c r="O60" s="54" t="n"/>
      <c r="P60" s="54" t="n"/>
      <c r="Q60" s="10" t="n"/>
      <c r="R60" s="10" t="n"/>
      <c r="S60" s="10" t="n"/>
      <c r="T60" s="10" t="n"/>
      <c r="U60" s="10" t="n"/>
      <c r="V60" s="10" t="n"/>
      <c r="W60" s="10" t="n"/>
    </row>
  </sheetData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J14" r:id="rId3"/>
    <hyperlink xmlns:r="http://schemas.openxmlformats.org/officeDocument/2006/relationships" ref="K14" r:id="rId4"/>
    <hyperlink xmlns:r="http://schemas.openxmlformats.org/officeDocument/2006/relationships" ref="R14" r:id="rId5"/>
    <hyperlink xmlns:r="http://schemas.openxmlformats.org/officeDocument/2006/relationships" ref="J15" r:id="rId6"/>
    <hyperlink xmlns:r="http://schemas.openxmlformats.org/officeDocument/2006/relationships" ref="K15" r:id="rId7"/>
    <hyperlink xmlns:r="http://schemas.openxmlformats.org/officeDocument/2006/relationships" ref="R15" r:id="rId8"/>
    <hyperlink xmlns:r="http://schemas.openxmlformats.org/officeDocument/2006/relationships" ref="J17" r:id="rId9"/>
    <hyperlink xmlns:r="http://schemas.openxmlformats.org/officeDocument/2006/relationships" ref="K17" r:id="rId10"/>
    <hyperlink xmlns:r="http://schemas.openxmlformats.org/officeDocument/2006/relationships" ref="R17" r:id="rId11"/>
    <hyperlink xmlns:r="http://schemas.openxmlformats.org/officeDocument/2006/relationships" ref="J18" r:id="rId12"/>
    <hyperlink xmlns:r="http://schemas.openxmlformats.org/officeDocument/2006/relationships" ref="K18" r:id="rId13"/>
    <hyperlink xmlns:r="http://schemas.openxmlformats.org/officeDocument/2006/relationships" ref="R18" r:id="rId14"/>
    <hyperlink xmlns:r="http://schemas.openxmlformats.org/officeDocument/2006/relationships" ref="K19" r:id="rId15"/>
    <hyperlink xmlns:r="http://schemas.openxmlformats.org/officeDocument/2006/relationships" ref="J20" r:id="rId16"/>
    <hyperlink xmlns:r="http://schemas.openxmlformats.org/officeDocument/2006/relationships" ref="K20" r:id="rId17"/>
    <hyperlink xmlns:r="http://schemas.openxmlformats.org/officeDocument/2006/relationships" ref="K22" r:id="rId18"/>
    <hyperlink xmlns:r="http://schemas.openxmlformats.org/officeDocument/2006/relationships" ref="R22" r:id="rId19"/>
    <hyperlink xmlns:r="http://schemas.openxmlformats.org/officeDocument/2006/relationships" ref="K23" r:id="rId20"/>
    <hyperlink xmlns:r="http://schemas.openxmlformats.org/officeDocument/2006/relationships" ref="R23" r:id="rId21"/>
    <hyperlink xmlns:r="http://schemas.openxmlformats.org/officeDocument/2006/relationships" ref="R25" r:id="rId22"/>
    <hyperlink xmlns:r="http://schemas.openxmlformats.org/officeDocument/2006/relationships" ref="K26" r:id="rId23"/>
    <hyperlink xmlns:r="http://schemas.openxmlformats.org/officeDocument/2006/relationships" ref="K27" r:id="rId24"/>
    <hyperlink xmlns:r="http://schemas.openxmlformats.org/officeDocument/2006/relationships" ref="R27" r:id="rId25"/>
    <hyperlink xmlns:r="http://schemas.openxmlformats.org/officeDocument/2006/relationships" ref="K29" r:id="rId26"/>
    <hyperlink xmlns:r="http://schemas.openxmlformats.org/officeDocument/2006/relationships" ref="R29" r:id="rId27"/>
    <hyperlink xmlns:r="http://schemas.openxmlformats.org/officeDocument/2006/relationships" ref="R30" r:id="rId28"/>
    <hyperlink xmlns:r="http://schemas.openxmlformats.org/officeDocument/2006/relationships" ref="K31" r:id="rId29"/>
    <hyperlink xmlns:r="http://schemas.openxmlformats.org/officeDocument/2006/relationships" ref="R32" r:id="rId30"/>
    <hyperlink xmlns:r="http://schemas.openxmlformats.org/officeDocument/2006/relationships" ref="R33" r:id="rId31"/>
    <hyperlink xmlns:r="http://schemas.openxmlformats.org/officeDocument/2006/relationships" ref="R34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66"/>
  <sheetViews>
    <sheetView workbookViewId="0">
      <selection activeCell="A1" sqref="A1"/>
    </sheetView>
  </sheetViews>
  <sheetFormatPr baseColWidth="8" defaultColWidth="12.63" defaultRowHeight="15.75" customHeight="1"/>
  <cols>
    <col width="15.63" customWidth="1" style="41" min="1" max="1"/>
    <col width="9" customWidth="1" style="41" min="2" max="2"/>
    <col width="5.5" customWidth="1" style="41" min="3" max="3"/>
    <col width="2.13" customWidth="1" style="41" min="4" max="4"/>
    <col width="4.13" customWidth="1" style="41" min="5" max="5"/>
    <col width="4.88" customWidth="1" style="41" min="6" max="6"/>
    <col width="4" customWidth="1" style="41" min="7" max="7"/>
    <col width="2.25" customWidth="1" style="41" min="8" max="8"/>
    <col width="5" customWidth="1" style="41" min="9" max="9"/>
    <col width="4.38" customWidth="1" style="41" min="10" max="10"/>
    <col width="5.5" customWidth="1" style="41" min="11" max="11"/>
    <col width="5.88" customWidth="1" style="41" min="12" max="12"/>
    <col width="5.25" customWidth="1" style="41" min="13" max="13"/>
    <col width="6.5" customWidth="1" style="41" min="14" max="15"/>
    <col width="5.88" customWidth="1" style="41" min="16" max="16"/>
    <col width="5.75" customWidth="1" style="41" min="17" max="17"/>
  </cols>
  <sheetData>
    <row r="1">
      <c r="A1" s="10" t="n"/>
      <c r="B1" s="10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6" t="n"/>
      <c r="N1" s="5" t="inlineStr">
        <is>
          <t>words</t>
        </is>
      </c>
      <c r="O1" s="5" t="inlineStr">
        <is>
          <t>words</t>
        </is>
      </c>
      <c r="P1" s="10" t="n"/>
      <c r="Q1" s="10" t="n"/>
      <c r="R1" s="28" t="inlineStr">
        <is>
          <t xml:space="preserve"> </t>
        </is>
      </c>
      <c r="S1" s="7" t="n"/>
      <c r="T1" s="10" t="n"/>
      <c r="U1" s="10" t="n"/>
      <c r="V1" s="10" t="n"/>
    </row>
    <row r="2">
      <c r="A2" s="10" t="n"/>
      <c r="B2" s="10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6" t="n"/>
      <c r="N2" s="5" t="inlineStr">
        <is>
          <t>heard</t>
        </is>
      </c>
      <c r="O2" s="5" t="inlineStr">
        <is>
          <t>read</t>
        </is>
      </c>
      <c r="P2" s="10" t="n"/>
      <c r="Q2" s="10" t="n"/>
      <c r="R2" s="28" t="inlineStr">
        <is>
          <t xml:space="preserve"> </t>
        </is>
      </c>
      <c r="S2" s="7" t="n"/>
      <c r="T2" s="10" t="n"/>
      <c r="U2" s="10" t="n"/>
      <c r="V2" s="10" t="n"/>
    </row>
    <row r="3">
      <c r="A3" s="10" t="n"/>
      <c r="B3" s="10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6" t="n"/>
      <c r="N3" s="5" t="inlineStr">
        <is>
          <t>per</t>
        </is>
      </c>
      <c r="O3" s="5" t="inlineStr">
        <is>
          <t>per</t>
        </is>
      </c>
      <c r="P3" s="10" t="n"/>
      <c r="Q3" s="10" t="n"/>
      <c r="R3" s="28" t="inlineStr">
        <is>
          <t xml:space="preserve"> </t>
        </is>
      </c>
      <c r="S3" s="7" t="n"/>
      <c r="T3" s="10" t="n"/>
      <c r="U3" s="10" t="n"/>
      <c r="V3" s="10" t="n"/>
    </row>
    <row r="4">
      <c r="A4" s="10" t="n"/>
      <c r="B4" s="10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6" t="n"/>
      <c r="N4" s="5" t="inlineStr">
        <is>
          <t>minute</t>
        </is>
      </c>
      <c r="O4" s="5" t="inlineStr">
        <is>
          <t>minute</t>
        </is>
      </c>
      <c r="P4" s="10" t="n"/>
      <c r="Q4" s="10" t="n"/>
      <c r="R4" s="28" t="inlineStr">
        <is>
          <t xml:space="preserve"> </t>
        </is>
      </c>
      <c r="S4" s="7" t="n"/>
      <c r="T4" s="10" t="n"/>
      <c r="U4" s="10" t="n"/>
      <c r="V4" s="10" t="n"/>
    </row>
    <row r="5">
      <c r="A5" s="10" t="n"/>
      <c r="B5" s="10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6" t="n"/>
      <c r="N5" s="10" t="n">
        <v>150</v>
      </c>
      <c r="O5" s="12" t="n">
        <v>300</v>
      </c>
      <c r="P5" s="10" t="n"/>
      <c r="Q5" s="10" t="n"/>
      <c r="R5" s="28" t="inlineStr">
        <is>
          <t xml:space="preserve"> </t>
        </is>
      </c>
      <c r="S5" s="7" t="n"/>
      <c r="T5" s="10" t="n"/>
      <c r="U5" s="10" t="n"/>
      <c r="V5" s="10" t="n"/>
    </row>
    <row r="6">
      <c r="A6" s="14" t="inlineStr">
        <is>
          <t>https://play.google.com/books</t>
        </is>
      </c>
      <c r="B6" s="10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6" t="n"/>
      <c r="N6" s="54" t="n"/>
      <c r="O6" s="54" t="n"/>
      <c r="P6" s="10" t="n"/>
      <c r="Q6" s="10" t="n"/>
      <c r="R6" s="28" t="inlineStr">
        <is>
          <t xml:space="preserve"> </t>
        </is>
      </c>
      <c r="S6" s="7" t="n"/>
      <c r="T6" s="10" t="n"/>
      <c r="U6" s="10" t="n"/>
      <c r="V6" s="10" t="n"/>
    </row>
    <row r="7">
      <c r="A7" s="10" t="n"/>
      <c r="B7" s="10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6" t="n"/>
      <c r="N7" s="5" t="inlineStr">
        <is>
          <t>total</t>
        </is>
      </c>
      <c r="O7" s="5" t="inlineStr">
        <is>
          <t>total</t>
        </is>
      </c>
      <c r="P7" s="10" t="n"/>
      <c r="Q7" s="10" t="n"/>
      <c r="R7" s="28" t="inlineStr">
        <is>
          <t xml:space="preserve"> </t>
        </is>
      </c>
      <c r="S7" s="7" t="n"/>
      <c r="T7" s="10" t="n"/>
      <c r="U7" s="10" t="n"/>
      <c r="V7" s="10" t="n"/>
    </row>
    <row r="8">
      <c r="A8" s="14" t="inlineStr">
        <is>
          <t>https://play.google.com/books</t>
        </is>
      </c>
      <c r="B8" s="10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6" t="n"/>
      <c r="N8" s="54">
        <f>sum(N20:N59)</f>
        <v/>
      </c>
      <c r="O8" s="54">
        <f>sum(O26:O59)</f>
        <v/>
      </c>
      <c r="P8" s="10" t="n"/>
      <c r="Q8" s="22" t="inlineStr">
        <is>
          <t>epub</t>
        </is>
      </c>
      <c r="R8" s="28" t="inlineStr">
        <is>
          <t xml:space="preserve"> </t>
        </is>
      </c>
      <c r="S8" s="7" t="n"/>
      <c r="T8" s="10" t="n"/>
      <c r="U8" s="10" t="n"/>
      <c r="V8" s="10" t="n"/>
    </row>
    <row r="9">
      <c r="A9" s="10" t="n"/>
      <c r="B9" s="10" t="n"/>
      <c r="C9" s="21" t="n"/>
      <c r="D9" s="21" t="n"/>
      <c r="E9" s="15" t="n"/>
      <c r="F9" s="21" t="n"/>
      <c r="G9" s="15" t="n"/>
      <c r="H9" s="15" t="n"/>
      <c r="I9" s="15" t="n"/>
      <c r="J9" s="15" t="n"/>
      <c r="K9" s="15" t="n"/>
      <c r="L9" s="15" t="n"/>
      <c r="M9" s="16" t="n"/>
      <c r="N9" s="5" t="inlineStr">
        <is>
          <t>audio</t>
        </is>
      </c>
      <c r="O9" s="5" t="inlineStr">
        <is>
          <t>read</t>
        </is>
      </c>
      <c r="P9" s="22" t="inlineStr">
        <is>
          <t>total</t>
        </is>
      </c>
      <c r="Q9" s="22" t="inlineStr">
        <is>
          <t>or</t>
        </is>
      </c>
      <c r="R9" s="28" t="inlineStr">
        <is>
          <t xml:space="preserve"> </t>
        </is>
      </c>
      <c r="S9" s="10" t="n"/>
      <c r="T9" s="10" t="n"/>
      <c r="U9" s="10" t="n"/>
      <c r="V9" s="10" t="n"/>
    </row>
    <row r="10">
      <c r="A10" s="22" t="n"/>
      <c r="B10" s="22" t="n"/>
      <c r="C10" s="21" t="inlineStr">
        <is>
          <t>year</t>
        </is>
      </c>
      <c r="D10" s="27" t="n"/>
      <c r="E10" s="21" t="n"/>
      <c r="F10" s="27" t="n"/>
      <c r="G10" s="21" t="n"/>
      <c r="H10" s="21" t="n"/>
      <c r="I10" s="21" t="n"/>
      <c r="J10" s="21" t="n"/>
      <c r="K10" s="21" t="inlineStr">
        <is>
          <t>total</t>
        </is>
      </c>
      <c r="L10" s="21" t="inlineStr">
        <is>
          <t>pages</t>
        </is>
      </c>
      <c r="M10" s="24" t="inlineStr">
        <is>
          <t>%</t>
        </is>
      </c>
      <c r="N10" s="5" t="inlineStr">
        <is>
          <t>hours</t>
        </is>
      </c>
      <c r="O10" s="5" t="inlineStr">
        <is>
          <t>hours</t>
        </is>
      </c>
      <c r="P10" s="22" t="inlineStr">
        <is>
          <t>words</t>
        </is>
      </c>
      <c r="Q10" s="22" t="inlineStr">
        <is>
          <t>pdf</t>
        </is>
      </c>
      <c r="R10" s="28" t="inlineStr">
        <is>
          <t xml:space="preserve"> </t>
        </is>
      </c>
      <c r="S10" s="22" t="n"/>
      <c r="T10" s="25" t="n"/>
      <c r="U10" s="25" t="n"/>
      <c r="V10" s="22" t="n"/>
    </row>
    <row r="11">
      <c r="A11" s="22" t="inlineStr">
        <is>
          <t>title</t>
        </is>
      </c>
      <c r="B11" s="22" t="inlineStr">
        <is>
          <t>author</t>
        </is>
      </c>
      <c r="C11" s="21" t="inlineStr">
        <is>
          <t>wrote</t>
        </is>
      </c>
      <c r="D11" s="27" t="n"/>
      <c r="E11" s="21" t="inlineStr">
        <is>
          <t>part</t>
        </is>
      </c>
      <c r="F11" s="27" t="inlineStr">
        <is>
          <t>page</t>
        </is>
      </c>
      <c r="G11" s="21" t="inlineStr">
        <is>
          <t>min</t>
        </is>
      </c>
      <c r="H11" s="21" t="n"/>
      <c r="I11" s="21" t="inlineStr">
        <is>
          <t>audio</t>
        </is>
      </c>
      <c r="J11" s="21" t="inlineStr">
        <is>
          <t>text</t>
        </is>
      </c>
      <c r="K11" s="21" t="inlineStr">
        <is>
          <t>pages</t>
        </is>
      </c>
      <c r="L11" s="21" t="inlineStr">
        <is>
          <t>left</t>
        </is>
      </c>
      <c r="M11" s="24" t="inlineStr">
        <is>
          <t>done</t>
        </is>
      </c>
      <c r="N11" s="5" t="inlineStr">
        <is>
          <t>left</t>
        </is>
      </c>
      <c r="O11" s="5" t="inlineStr">
        <is>
          <t>left</t>
        </is>
      </c>
      <c r="P11" s="22" t="inlineStr">
        <is>
          <t>(k)</t>
        </is>
      </c>
      <c r="Q11" s="22" t="inlineStr">
        <is>
          <t>url</t>
        </is>
      </c>
      <c r="R11" s="28" t="inlineStr">
        <is>
          <t xml:space="preserve"> </t>
        </is>
      </c>
      <c r="S11" s="22" t="n"/>
      <c r="T11" s="25" t="n"/>
      <c r="U11" s="25" t="n"/>
      <c r="V11" s="22" t="n"/>
    </row>
    <row r="12">
      <c r="A12" s="22" t="inlineStr">
        <is>
          <t>current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15" t="n"/>
      <c r="M12" s="16" t="n"/>
      <c r="N12" s="54" t="n"/>
      <c r="P12" s="28" t="n"/>
      <c r="R12" s="28" t="inlineStr">
        <is>
          <t xml:space="preserve"> </t>
        </is>
      </c>
    </row>
    <row r="13">
      <c r="A13" s="28" t="inlineStr">
        <is>
          <t>french_revolution</t>
        </is>
      </c>
      <c r="B13" s="28" t="inlineStr">
        <is>
          <t>tocqueville</t>
        </is>
      </c>
      <c r="C13" s="28" t="n">
        <v>1856</v>
      </c>
      <c r="D13" s="28" t="n"/>
      <c r="E13" s="28" t="n">
        <v>9</v>
      </c>
      <c r="F13" s="28" t="n">
        <v>234</v>
      </c>
      <c r="G13" s="28" t="n">
        <v>30</v>
      </c>
      <c r="H13" s="28" t="n"/>
      <c r="I13" s="26" t="inlineStr">
        <is>
          <t>https://drive.google.com/drive/folders/1W0OhNc8FjvRYyGvB9wAoaFcDZUrbP6lm</t>
        </is>
      </c>
      <c r="J13" s="38" t="inlineStr">
        <is>
          <t>https://play.google.com/books/reader?id=n8H5PAAAAEAJ&amp;pg=GBS.PA177.w.0.0.0.1_303</t>
        </is>
      </c>
      <c r="K13" s="28" t="n">
        <v>360</v>
      </c>
      <c r="L13" s="15">
        <f>K13-F13</f>
        <v/>
      </c>
      <c r="M13" s="16">
        <f>F13/K13</f>
        <v/>
      </c>
      <c r="N13" s="54">
        <f>IFERROR((((1-M13)*P13)*1000)/$N$5/60, "")</f>
        <v/>
      </c>
      <c r="P13" s="28" t="n">
        <v>167</v>
      </c>
      <c r="Q13" s="26" t="inlineStr">
        <is>
          <t>https://archive.org/details/oldregimeandrev00tocqgoog</t>
        </is>
      </c>
      <c r="R13" s="28" t="inlineStr">
        <is>
          <t xml:space="preserve"> </t>
        </is>
      </c>
    </row>
    <row r="14">
      <c r="A14" s="10" t="inlineStr">
        <is>
          <t>ten days</t>
        </is>
      </c>
      <c r="B14" s="10" t="inlineStr">
        <is>
          <t>john reed</t>
        </is>
      </c>
      <c r="C14" s="29" t="n">
        <v>1919</v>
      </c>
      <c r="D14" s="15" t="n"/>
      <c r="E14" s="15" t="n">
        <v>1</v>
      </c>
      <c r="F14" s="15" t="n">
        <v>25</v>
      </c>
      <c r="G14" s="15" t="n">
        <v>35</v>
      </c>
      <c r="H14" s="15" t="n"/>
      <c r="I14" s="39" t="inlineStr">
        <is>
          <t>https://drive.google.com/drive/folders/1eor9aep92u2y21HbrpqAQtUVQkBe4554</t>
        </is>
      </c>
      <c r="J14" s="39" t="inlineStr">
        <is>
          <t>https://play.google.com/books/reader?id=vfHJPAAAAEAJ&amp;pg=GBS.PA11</t>
        </is>
      </c>
      <c r="K14" s="15" t="n">
        <v>439</v>
      </c>
      <c r="L14" s="15">
        <f>K14-F14</f>
        <v/>
      </c>
      <c r="M14" s="16">
        <f>F14/K14</f>
        <v/>
      </c>
      <c r="N14" s="54">
        <f>IFERROR((((1-M14)*P14)*1000)/$N$5/60, "")</f>
        <v/>
      </c>
      <c r="O14" s="54">
        <f>IFERROR((((1-#REF!)*P14)/$O$5/60), "")</f>
        <v/>
      </c>
      <c r="P14" s="10" t="n">
        <v>120</v>
      </c>
      <c r="Q14" s="14" t="inlineStr">
        <is>
          <t>https://www.gutenberg.org/ebooks/3076</t>
        </is>
      </c>
      <c r="R14" s="28" t="inlineStr">
        <is>
          <t xml:space="preserve"> </t>
        </is>
      </c>
      <c r="S14" s="10" t="n"/>
      <c r="T14" s="10" t="n"/>
      <c r="U14" s="10" t="n"/>
      <c r="V14" s="10" t="n"/>
    </row>
    <row r="15">
      <c r="A15" s="28" t="inlineStr">
        <is>
          <t>too_big_to_fail</t>
        </is>
      </c>
      <c r="B15" s="28" t="inlineStr">
        <is>
          <t>sorkin</t>
        </is>
      </c>
      <c r="C15" s="28" t="n">
        <v>2009</v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15" t="n"/>
      <c r="M15" s="16" t="n"/>
      <c r="N15" s="54" t="n"/>
      <c r="P15" s="28" t="n"/>
      <c r="R15" s="28" t="inlineStr">
        <is>
          <t xml:space="preserve"> </t>
        </is>
      </c>
    </row>
    <row r="16">
      <c r="A16" s="28" t="inlineStr">
        <is>
          <t>jp_morgan</t>
        </is>
      </c>
      <c r="B16" s="28" t="inlineStr">
        <is>
          <t>martin</t>
        </is>
      </c>
      <c r="C16" s="28" t="n">
        <v>2022</v>
      </c>
      <c r="D16" s="28" t="n"/>
      <c r="E16" s="28" t="n">
        <v>7</v>
      </c>
      <c r="F16" s="28" t="n">
        <v>300</v>
      </c>
      <c r="G16" s="28" t="n">
        <v>6</v>
      </c>
      <c r="H16" s="28" t="n"/>
      <c r="I16" s="26" t="inlineStr">
        <is>
          <t>https://drive.google.com/drive/folders/1ScccByby141iAAgGYvl4E-BH_tHjWSqj</t>
        </is>
      </c>
      <c r="J16" s="26" t="inlineStr">
        <is>
          <t>https://play.google.com/books/reader?id=gPwSPQAAAEAJ&amp;pg=GBS.PA</t>
        </is>
      </c>
      <c r="K16" s="28" t="n">
        <v>990</v>
      </c>
      <c r="L16" s="15">
        <f>K16-F16</f>
        <v/>
      </c>
      <c r="M16" s="16">
        <f>F16/K16</f>
        <v/>
      </c>
      <c r="N16" s="54">
        <f>IFERROR((((1-M16)*P16)*1000)/$N$5/60, "")</f>
        <v/>
      </c>
      <c r="P16" s="28" t="n">
        <v>175</v>
      </c>
      <c r="Q16" s="26" t="inlineStr">
        <is>
          <t>https://dokumen.pub/jp-morgan-amp-co-and-the-crisis-of-capitalism-from-the-wall-street-crash-to-world-war-ii-9781108653602-9781108498371.html</t>
        </is>
      </c>
      <c r="R16" s="28" t="inlineStr">
        <is>
          <t xml:space="preserve"> </t>
        </is>
      </c>
    </row>
    <row r="17">
      <c r="A17" s="28" t="inlineStr">
        <is>
          <t>common sense</t>
        </is>
      </c>
      <c r="B17" s="28" t="inlineStr">
        <is>
          <t>paine</t>
        </is>
      </c>
      <c r="C17" s="28" t="n">
        <v>1775</v>
      </c>
      <c r="D17" s="28" t="n"/>
      <c r="E17" s="28" t="n"/>
      <c r="F17" s="28" t="n">
        <v>5</v>
      </c>
      <c r="G17" s="28" t="n">
        <v>6</v>
      </c>
      <c r="H17" s="28" t="n"/>
      <c r="I17" s="26" t="inlineStr">
        <is>
          <t>https://drive.google.com/drive/folders/1Wn3XK-y0DRAN8cxTPD026ckBfTfdXTJP</t>
        </is>
      </c>
      <c r="J17" s="26" t="inlineStr">
        <is>
          <t>https://play.google.com/books/reader?id=ftUEPQAAAEAJ</t>
        </is>
      </c>
      <c r="K17" s="28" t="n">
        <v>70</v>
      </c>
      <c r="L17" s="15">
        <f>K17-F17</f>
        <v/>
      </c>
      <c r="M17" s="16">
        <f>F17/K17</f>
        <v/>
      </c>
      <c r="N17" s="54">
        <f>IFERROR((((1-M17)*P17)*1000)/$N$5/60, "")</f>
        <v/>
      </c>
      <c r="P17" s="28" t="n">
        <v>167</v>
      </c>
      <c r="Q17" s="26" t="inlineStr">
        <is>
          <t>https://www.gutenberg.org/ebooks/147</t>
        </is>
      </c>
      <c r="R17" s="28" t="inlineStr">
        <is>
          <t xml:space="preserve"> </t>
        </is>
      </c>
    </row>
    <row r="18">
      <c r="A18" s="28" t="inlineStr">
        <is>
          <t>finance</t>
        </is>
      </c>
      <c r="B18" s="28" t="inlineStr">
        <is>
          <t>libby</t>
        </is>
      </c>
      <c r="C18" s="28" t="inlineStr">
        <is>
          <t>idk..?</t>
        </is>
      </c>
      <c r="D18" s="28" t="n"/>
      <c r="E18" s="28" t="n"/>
      <c r="F18" s="28" t="n">
        <v>46</v>
      </c>
      <c r="G18" s="28" t="n"/>
      <c r="H18" s="28" t="n"/>
      <c r="I18" s="28" t="n"/>
      <c r="J18" s="26" t="inlineStr">
        <is>
          <t>https://dl.icdst.org/pdfs/files3/4e8ad0e1692a3ead1bf12e88465da1a9.pdf</t>
        </is>
      </c>
      <c r="K18" s="28" t="n">
        <v>904</v>
      </c>
      <c r="L18" s="15">
        <f>K18-F18</f>
        <v/>
      </c>
      <c r="M18" s="16">
        <f>F18/K18</f>
        <v/>
      </c>
      <c r="N18" s="54">
        <f>IFERROR((((1-M18)*P18)*1000)/$N$5/60, "")</f>
        <v/>
      </c>
      <c r="P18" s="28" t="n">
        <v>167</v>
      </c>
      <c r="R18" s="28" t="inlineStr">
        <is>
          <t xml:space="preserve"> </t>
        </is>
      </c>
    </row>
    <row r="19">
      <c r="A19" s="10" t="inlineStr">
        <is>
          <t>grant</t>
        </is>
      </c>
      <c r="B19" s="28" t="inlineStr">
        <is>
          <t>grant</t>
        </is>
      </c>
      <c r="C19" s="28" t="n">
        <v>1885</v>
      </c>
      <c r="D19" s="28" t="n"/>
      <c r="E19" s="28" t="n">
        <v>6</v>
      </c>
      <c r="F19" s="28" t="n">
        <v>167</v>
      </c>
      <c r="G19" s="28" t="n">
        <v>61</v>
      </c>
      <c r="H19" s="28" t="n"/>
      <c r="I19" s="38" t="inlineStr">
        <is>
          <t>https://drive.google.com/drive/folders/1gWwbUPc4oguCXUCt56jsioiLF9vAtrRO</t>
        </is>
      </c>
      <c r="J19" s="38" t="inlineStr">
        <is>
          <t>https://play.google.com/books/reader?id=NYD3PAAAAEAJ&amp;pg=GBS.PA160.w.0.0.0.4_17</t>
        </is>
      </c>
      <c r="K19" s="28" t="n">
        <v>900</v>
      </c>
      <c r="L19" s="15">
        <f>K19-F19</f>
        <v/>
      </c>
      <c r="M19" s="16">
        <f>F19/K19</f>
        <v/>
      </c>
      <c r="N19" s="54">
        <f>IFERROR((((1-M19)*P19)*1000)/$N$5/60, "")</f>
        <v/>
      </c>
      <c r="P19" s="28" t="n">
        <v>270</v>
      </c>
      <c r="R19" s="28" t="inlineStr">
        <is>
          <t xml:space="preserve"> </t>
        </is>
      </c>
    </row>
    <row r="20">
      <c r="A20" s="22" t="inlineStr">
        <is>
          <t>bolshevism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15" t="n"/>
      <c r="M20" s="16" t="n"/>
      <c r="N20" s="54" t="n"/>
      <c r="P20" s="28" t="n"/>
      <c r="R20" s="28" t="inlineStr">
        <is>
          <t xml:space="preserve"> </t>
        </is>
      </c>
    </row>
    <row r="21">
      <c r="A21" s="0" t="inlineStr">
        <is>
          <t>state and revolution</t>
        </is>
      </c>
      <c r="B21" s="0" t="inlineStr">
        <is>
          <t xml:space="preserve">lenin </t>
        </is>
      </c>
      <c r="C21" s="29" t="n">
        <v>1917</v>
      </c>
      <c r="D21" s="15" t="n"/>
      <c r="E21" s="15" t="n"/>
      <c r="F21" s="15" t="n">
        <v>37</v>
      </c>
      <c r="G21" s="15" t="n"/>
      <c r="H21" s="15" t="n"/>
      <c r="I21" s="15" t="n"/>
      <c r="J21" s="39" t="inlineStr">
        <is>
          <t>https://play.google.com/books/reader?id=47PGPAAAAEAJ&amp;pg=GBS.PA36_310</t>
        </is>
      </c>
      <c r="K21" s="15" t="n">
        <v>133</v>
      </c>
      <c r="L21" s="15">
        <f>K21-F21</f>
        <v/>
      </c>
      <c r="M21" s="16">
        <f>F21/K21</f>
        <v/>
      </c>
      <c r="N21" s="54">
        <f>IFERROR((((1-M21)*P21)*1000)/$N$5/60, "")</f>
        <v/>
      </c>
      <c r="O21" s="54">
        <f>IFERROR((((1-#REF!)*P21)/$O$5/60), "")</f>
        <v/>
      </c>
      <c r="P21" s="10" t="n">
        <v>40</v>
      </c>
      <c r="Q21" s="14" t="inlineStr">
        <is>
          <t>https://play.google.com/books/reader?id=MSGzPAAAAEAJ&amp;pg=GBS.PA8</t>
        </is>
      </c>
      <c r="R21" s="28" t="inlineStr">
        <is>
          <t xml:space="preserve"> </t>
        </is>
      </c>
      <c r="S21" s="10" t="n"/>
      <c r="V21" s="10" t="n"/>
    </row>
    <row r="22">
      <c r="A22" s="0" t="inlineStr">
        <is>
          <t>imperialism</t>
        </is>
      </c>
      <c r="B22" s="0" t="inlineStr">
        <is>
          <t xml:space="preserve">lenin </t>
        </is>
      </c>
      <c r="C22" s="29" t="n">
        <v>1917</v>
      </c>
      <c r="D22" s="15" t="n"/>
      <c r="E22" s="15" t="n"/>
      <c r="F22" s="15" t="n">
        <v>39</v>
      </c>
      <c r="G22" s="15" t="n"/>
      <c r="H22" s="15" t="n"/>
      <c r="I22" s="15" t="n"/>
      <c r="J22" s="39" t="inlineStr">
        <is>
          <t>https://play.google.com/books/reader?id=W-nGPAAAAEAJ</t>
        </is>
      </c>
      <c r="K22" s="15" t="n">
        <v>253</v>
      </c>
      <c r="L22" s="15">
        <f>K22-F22</f>
        <v/>
      </c>
      <c r="M22" s="16">
        <f>F22/K22</f>
        <v/>
      </c>
      <c r="N22" s="54">
        <f>IFERROR((((1-M22)*P22)*1000)/$N$5/60, "")</f>
        <v/>
      </c>
      <c r="O22" s="54">
        <f>IFERROR((((1-#REF!)*P22)/$O$5/60), "")</f>
        <v/>
      </c>
      <c r="P22" s="10" t="n">
        <v>40</v>
      </c>
      <c r="Q22" s="14" t="inlineStr">
        <is>
          <t>https://play.google.com/books/reader?id=MyGzPAAAAEAJ&amp;pg=GBS.PA26</t>
        </is>
      </c>
      <c r="R22" s="28" t="inlineStr">
        <is>
          <t xml:space="preserve"> </t>
        </is>
      </c>
      <c r="S22" s="10" t="n"/>
      <c r="V22" s="10" t="n"/>
    </row>
    <row r="23">
      <c r="A23" s="22" t="inlineStr">
        <is>
          <t>imperialists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15" t="n"/>
      <c r="M23" s="16" t="n"/>
      <c r="N23" s="54" t="n"/>
      <c r="P23" s="28" t="n"/>
      <c r="R23" s="28" t="inlineStr">
        <is>
          <t xml:space="preserve"> </t>
        </is>
      </c>
    </row>
    <row r="24">
      <c r="A24" s="0" t="inlineStr">
        <is>
          <t>ochrana</t>
        </is>
      </c>
      <c r="C24" s="29" t="n">
        <v>1917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6" t="n"/>
      <c r="N24" s="54">
        <f>IFERROR(((1-#REF!)*(P24*1000))/$N$5/60, "")
</f>
        <v/>
      </c>
      <c r="O24" s="54">
        <f>IFERROR((((1-#REF!)*P24)/$O$5/60), "")</f>
        <v/>
      </c>
      <c r="P24" s="10" t="n"/>
      <c r="Q24" s="14" t="inlineStr">
        <is>
          <t>https://dn720006.ca.archive.org/0/items/ochranarussianse0000atva/ochranarussianse0000atva.pdf</t>
        </is>
      </c>
      <c r="R24" s="28" t="inlineStr">
        <is>
          <t xml:space="preserve"> </t>
        </is>
      </c>
      <c r="S24" s="10" t="n"/>
      <c r="V24" s="10" t="n"/>
    </row>
    <row r="25">
      <c r="A25" s="0" t="inlineStr">
        <is>
          <t>medici money</t>
        </is>
      </c>
      <c r="C25" s="29" t="n">
        <v>2006</v>
      </c>
      <c r="D25" s="15" t="n"/>
      <c r="E25" s="15" t="n"/>
      <c r="F25" s="15" t="n">
        <v>38</v>
      </c>
      <c r="G25" s="15" t="n"/>
      <c r="H25" s="15" t="n"/>
      <c r="I25" s="15" t="n"/>
      <c r="J25" s="39" t="inlineStr">
        <is>
          <t>https://play.google.com/books/reader?id=4LXGPAAAAEAJ&amp;pg=GBS.PA37_71</t>
        </is>
      </c>
      <c r="K25" s="15" t="n">
        <v>241</v>
      </c>
      <c r="L25" s="15">
        <f>K25-F25</f>
        <v/>
      </c>
      <c r="M25" s="16">
        <f>F25/K25</f>
        <v/>
      </c>
      <c r="N25" s="54">
        <f>IFERROR((((1-M25)*P25)*1000)/$N$5/60, "")</f>
        <v/>
      </c>
      <c r="O25" s="54">
        <f>IFERROR((((1-#REF!)*P25)/$O$5/60), "")</f>
        <v/>
      </c>
      <c r="P25" s="10" t="n">
        <v>75</v>
      </c>
      <c r="Q25" s="10" t="n"/>
      <c r="R25" s="28" t="inlineStr">
        <is>
          <t xml:space="preserve"> </t>
        </is>
      </c>
      <c r="S25" s="10" t="n"/>
      <c r="V25" s="10" t="n"/>
    </row>
    <row r="26">
      <c r="A26" s="0" t="inlineStr">
        <is>
          <t>practical idealism</t>
        </is>
      </c>
      <c r="B26" s="0" t="inlineStr">
        <is>
          <t>kalergi</t>
        </is>
      </c>
      <c r="C26" s="29" t="n">
        <v>1925</v>
      </c>
      <c r="D26" s="15" t="n"/>
      <c r="E26" s="15" t="n"/>
      <c r="F26" s="15" t="n">
        <v>38</v>
      </c>
      <c r="G26" s="15" t="n"/>
      <c r="H26" s="15" t="n"/>
      <c r="I26" s="15" t="n"/>
      <c r="J26" s="39" t="inlineStr">
        <is>
          <t>https://play.google.com/books/reader?id=8u7GPAAAAEAJ&amp;pg=GBS.PA38</t>
        </is>
      </c>
      <c r="K26" s="15" t="n">
        <v>213</v>
      </c>
      <c r="L26" s="15">
        <f>K26-F26</f>
        <v/>
      </c>
      <c r="M26" s="16">
        <f>F26/K26</f>
        <v/>
      </c>
      <c r="N26" s="54">
        <f>IFERROR((((1-M26)*P26)*1000)/$N$5/60, "")</f>
        <v/>
      </c>
      <c r="O26" s="54">
        <f>IFERROR((((1-#REF!)*P26)/$O$5/60), "")</f>
        <v/>
      </c>
      <c r="P26" s="10" t="n">
        <v>44</v>
      </c>
      <c r="Q26" s="14" t="inlineStr">
        <is>
          <t>https://play.google.com/books/reader?id=sPCuPAAAAEAJ&amp;pg=GBS.PA33</t>
        </is>
      </c>
      <c r="R26" s="28" t="inlineStr">
        <is>
          <t xml:space="preserve"> </t>
        </is>
      </c>
      <c r="S26" s="10" t="n"/>
      <c r="V26" s="10" t="n"/>
    </row>
    <row r="27">
      <c r="A27" s="22" t="inlineStr">
        <is>
          <t>ww2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6" t="n"/>
      <c r="N27" s="54" t="n"/>
      <c r="O27" s="54" t="n"/>
      <c r="P27" s="10" t="n"/>
      <c r="Q27" s="10" t="n"/>
      <c r="R27" s="28" t="inlineStr">
        <is>
          <t xml:space="preserve"> </t>
        </is>
      </c>
      <c r="S27" s="10" t="n"/>
      <c r="V27" s="10" t="n"/>
    </row>
    <row r="28">
      <c r="A28" s="0" t="inlineStr">
        <is>
          <t>waffen</t>
        </is>
      </c>
      <c r="C28" s="15" t="n"/>
      <c r="D28" s="15" t="n"/>
      <c r="E28" s="15" t="n"/>
      <c r="F28" s="15" t="n">
        <v>51</v>
      </c>
      <c r="G28" s="15" t="n"/>
      <c r="H28" s="15" t="n"/>
      <c r="I28" s="15" t="n"/>
      <c r="J28" s="39" t="inlineStr">
        <is>
          <t>https://play.google.com/books/reader?id=VfvGPAAAAEAJ&amp;pg=GBS.PA51</t>
        </is>
      </c>
      <c r="K28" s="15" t="n">
        <v>700</v>
      </c>
      <c r="L28" s="15">
        <f>K28-F28</f>
        <v/>
      </c>
      <c r="M28" s="16">
        <f>F28/K28</f>
        <v/>
      </c>
      <c r="N28" s="54">
        <f>IFERROR((((1-M28)*P28)*1000)/$N$5/60, "")</f>
        <v/>
      </c>
      <c r="O28" s="54">
        <f>IFERROR((((1-#REF!)*P28)/$O$5/60), "")</f>
        <v/>
      </c>
      <c r="P28" s="10" t="n"/>
      <c r="Q28" s="14" t="inlineStr">
        <is>
          <t>https://drive.google.com/drive/</t>
        </is>
      </c>
      <c r="R28" s="28" t="inlineStr">
        <is>
          <t xml:space="preserve"> </t>
        </is>
      </c>
      <c r="S28" s="10" t="n"/>
      <c r="V28" s="10" t="n"/>
    </row>
    <row r="29">
      <c r="A29" s="47" t="inlineStr">
        <is>
          <t>mein kampf</t>
        </is>
      </c>
      <c r="B29" s="47" t="inlineStr">
        <is>
          <t>hitler</t>
        </is>
      </c>
      <c r="C29" s="44" t="n">
        <v>1925</v>
      </c>
      <c r="D29" s="45" t="n"/>
      <c r="E29" s="45" t="n"/>
      <c r="F29" s="45" t="n"/>
      <c r="G29" s="45" t="n"/>
      <c r="H29" s="45" t="n"/>
      <c r="I29" s="45" t="n"/>
      <c r="J29" s="45" t="n"/>
      <c r="K29" s="45" t="n"/>
      <c r="L29" s="15">
        <f>K29-F29</f>
        <v/>
      </c>
      <c r="M29" s="16">
        <f>F29/K29</f>
        <v/>
      </c>
      <c r="N29" s="54">
        <f>IFERROR((((1-M29)*P29)*1000)/$N$5/60, "")</f>
        <v/>
      </c>
      <c r="O29" s="46">
        <f>IFERROR((((1-#REF!)*P29)/$O$5/60), "")</f>
        <v/>
      </c>
      <c r="P29" s="47" t="n">
        <v>250</v>
      </c>
      <c r="Q29" s="48" t="inlineStr">
        <is>
          <t>https://app.luminpdf.com/viewer/6a43d12bb73797f7f04926e2?credentials-id=cdb9ff29-060e-4ef3-a802-62338912642d&amp;can-join-workspace=false&amp;from=drive</t>
        </is>
      </c>
      <c r="R29" s="28" t="inlineStr">
        <is>
          <t xml:space="preserve"> </t>
        </is>
      </c>
      <c r="S29" s="47" t="n"/>
      <c r="T29" s="47" t="n"/>
      <c r="U29" s="47" t="n"/>
      <c r="V29" s="47" t="n"/>
    </row>
    <row r="30">
      <c r="A30" s="10" t="inlineStr">
        <is>
          <t>corp law</t>
        </is>
      </c>
      <c r="B30" s="10" t="n"/>
      <c r="C30" s="15" t="n"/>
      <c r="D30" s="15" t="n"/>
      <c r="E30" s="15" t="n"/>
      <c r="F30" s="15" t="n">
        <v>6</v>
      </c>
      <c r="G30" s="15" t="n"/>
      <c r="H30" s="15" t="n"/>
      <c r="I30" s="15" t="inlineStr">
        <is>
          <t>?</t>
        </is>
      </c>
      <c r="J30" s="39" t="inlineStr">
        <is>
          <t>https://play.google.com/books/reader?id=cADbPAAAAEAJ&amp;pg=GBS.PA6</t>
        </is>
      </c>
      <c r="K30" s="15" t="n">
        <v>2088</v>
      </c>
      <c r="L30" s="15">
        <f>K30-F30</f>
        <v/>
      </c>
      <c r="M30" s="16" t="n"/>
      <c r="N30" s="54">
        <f>IFERROR((((1-M30)*P30)*1000)/$N$5/60, "")</f>
        <v/>
      </c>
      <c r="O30" s="54" t="n"/>
      <c r="P30" s="10" t="n"/>
      <c r="Q30" s="10" t="n"/>
      <c r="R30" s="28" t="inlineStr">
        <is>
          <t xml:space="preserve"> </t>
        </is>
      </c>
      <c r="S30" s="10" t="n"/>
      <c r="V30" s="10" t="n"/>
    </row>
    <row r="31">
      <c r="A31" s="0" t="inlineStr">
        <is>
          <t>how the other half</t>
        </is>
      </c>
      <c r="B31" s="0" t="inlineStr">
        <is>
          <t>riis</t>
        </is>
      </c>
      <c r="C31" s="29" t="n">
        <v>1890</v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>
        <f>K31-F31</f>
        <v/>
      </c>
      <c r="M31" s="16">
        <f>F31/K31</f>
        <v/>
      </c>
      <c r="N31" s="54">
        <f>IFERROR((((1-M31)*P31)*1000)/$N$5/60, "")</f>
        <v/>
      </c>
      <c r="O31" s="54">
        <f>IFERROR((((1-#REF!)*P31)/$O$5/60), "")</f>
        <v/>
      </c>
      <c r="P31" s="10" t="n"/>
      <c r="Q31" s="14" t="inlineStr">
        <is>
          <t>https://blogs.ubc.ca/fafa/files/2020/01/Riis_How-the-Other-Half-Lives.pdf</t>
        </is>
      </c>
      <c r="R31" s="28" t="inlineStr">
        <is>
          <t xml:space="preserve"> </t>
        </is>
      </c>
      <c r="S31" s="10" t="n"/>
      <c r="V31" s="10" t="n"/>
    </row>
    <row r="32">
      <c r="A32" s="0" t="inlineStr">
        <is>
          <t>swiss republic</t>
        </is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>
        <f>K32-F32</f>
        <v/>
      </c>
      <c r="M32" s="16">
        <f>F32/K32</f>
        <v/>
      </c>
      <c r="N32" s="54">
        <f>IFERROR((((1-M32)*P32)*1000)/$N$5/60, "")</f>
        <v/>
      </c>
      <c r="O32" s="54">
        <f>IFERROR((((1-#REF!)*P32)/$O$5/60), "")</f>
        <v/>
      </c>
      <c r="P32" s="10" t="n"/>
      <c r="Q32" s="14" t="inlineStr">
        <is>
          <t>https://books.google.com/books/about/The_Swiss_Republic.html?id=j51UjqqwfhgC</t>
        </is>
      </c>
      <c r="R32" s="28" t="inlineStr">
        <is>
          <t xml:space="preserve"> </t>
        </is>
      </c>
      <c r="S32" s="10" t="n"/>
      <c r="V32" s="10" t="n"/>
    </row>
    <row r="33">
      <c r="A33" s="0" t="inlineStr">
        <is>
          <t>rep migration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>
        <f>K33-F33</f>
        <v/>
      </c>
      <c r="M33" s="16">
        <f>F33/K33</f>
        <v/>
      </c>
      <c r="N33" s="54">
        <f>IFERROR((((1-M33)*P33)*1000)/$N$5/60, "")</f>
        <v/>
      </c>
      <c r="O33" s="54">
        <f>IFERROR((((1-#REF!)*P33)/$O$5/60), "")</f>
        <v/>
      </c>
      <c r="P33" s="10" t="n"/>
      <c r="Q33" s="14" t="inlineStr">
        <is>
          <t>https://digitallibrary.un.org/record/412547?ln=en&amp;v=pdf</t>
        </is>
      </c>
      <c r="R33" s="28" t="inlineStr">
        <is>
          <t xml:space="preserve"> </t>
        </is>
      </c>
      <c r="S33" s="10" t="n"/>
      <c r="T33" s="10" t="n"/>
      <c r="U33" s="10" t="n"/>
      <c r="V33" s="10" t="n"/>
    </row>
    <row r="34">
      <c r="A34" s="22" t="n"/>
      <c r="C34" s="50" t="n"/>
      <c r="D34" s="50" t="n"/>
      <c r="F34" s="50" t="n"/>
      <c r="G34" s="50" t="n"/>
      <c r="H34" s="50" t="n"/>
      <c r="I34" s="50" t="n"/>
      <c r="J34" s="50" t="n"/>
      <c r="K34" s="50" t="n"/>
      <c r="L34" s="15" t="n"/>
      <c r="M34" s="16" t="n"/>
      <c r="N34" s="54" t="n"/>
      <c r="O34" s="54" t="n"/>
      <c r="Q34" s="10" t="n"/>
      <c r="R34" s="28" t="inlineStr">
        <is>
          <t xml:space="preserve"> </t>
        </is>
      </c>
      <c r="S34" s="10" t="n"/>
      <c r="T34" s="10" t="n"/>
      <c r="U34" s="10" t="n"/>
      <c r="V34" s="10" t="n"/>
    </row>
    <row r="35">
      <c r="A35" s="22" t="inlineStr">
        <is>
          <t>wtf is anarchism?</t>
        </is>
      </c>
      <c r="C35" s="50" t="n"/>
      <c r="D35" s="50" t="n"/>
      <c r="F35" s="50" t="n"/>
      <c r="G35" s="50" t="n"/>
      <c r="H35" s="50" t="n"/>
      <c r="I35" s="50" t="n"/>
      <c r="J35" s="50" t="n"/>
      <c r="K35" s="50" t="n"/>
      <c r="L35" s="15" t="n"/>
      <c r="M35" s="16" t="n"/>
      <c r="N35" s="54" t="n"/>
      <c r="O35" s="54" t="n"/>
      <c r="Q35" s="10" t="n"/>
      <c r="R35" s="28" t="inlineStr">
        <is>
          <t xml:space="preserve"> </t>
        </is>
      </c>
      <c r="S35" s="10" t="n"/>
      <c r="T35" s="10" t="n"/>
      <c r="U35" s="10" t="n"/>
      <c r="V35" s="10" t="n"/>
    </row>
    <row r="36">
      <c r="A36" s="0" t="inlineStr">
        <is>
          <t>conquest of bread</t>
        </is>
      </c>
      <c r="B36" s="50" t="inlineStr">
        <is>
          <t>Kropotkin</t>
        </is>
      </c>
      <c r="C36" s="29" t="n">
        <v>1892</v>
      </c>
      <c r="D36" s="50" t="n"/>
      <c r="E36" s="50" t="n"/>
      <c r="F36" s="50" t="n"/>
      <c r="G36" s="50" t="n"/>
      <c r="H36" s="50" t="n"/>
      <c r="I36" s="50" t="n"/>
      <c r="J36" s="50" t="n"/>
      <c r="K36" s="50" t="n"/>
      <c r="L36" s="15" t="n"/>
      <c r="M36" s="16">
        <f>F36/K36</f>
        <v/>
      </c>
      <c r="N36" s="54">
        <f>(((1-M36)*P36)*1000)/$N$5/60</f>
        <v/>
      </c>
      <c r="O36" s="54">
        <f>IFERROR((((1-#REF!)*P36)/$O$5/60), "")</f>
        <v/>
      </c>
      <c r="P36" s="12" t="n">
        <v>90</v>
      </c>
      <c r="Q36" s="10" t="inlineStr">
        <is>
          <t>gutenberg</t>
        </is>
      </c>
      <c r="R36" s="28" t="inlineStr">
        <is>
          <t xml:space="preserve"> </t>
        </is>
      </c>
      <c r="S36" s="10" t="n"/>
      <c r="T36" s="10" t="n"/>
      <c r="U36" s="10" t="n"/>
      <c r="V36" s="10" t="n"/>
    </row>
    <row r="37">
      <c r="A37" s="0" t="inlineStr">
        <is>
          <t>mutual aid</t>
        </is>
      </c>
      <c r="B37" s="50" t="inlineStr">
        <is>
          <t>Kropotkin</t>
        </is>
      </c>
      <c r="C37" s="29" t="n">
        <v>1902</v>
      </c>
      <c r="D37" s="50" t="n"/>
      <c r="E37" s="50" t="n"/>
      <c r="F37" s="50" t="n"/>
      <c r="G37" s="50" t="n"/>
      <c r="H37" s="50" t="n"/>
      <c r="I37" s="50" t="n"/>
      <c r="J37" s="50" t="n"/>
      <c r="K37" s="50" t="n"/>
      <c r="L37" s="15" t="n"/>
      <c r="M37" s="16">
        <f>F37/K37</f>
        <v/>
      </c>
      <c r="N37" s="54">
        <f>IFERROR(((1-#REF!)*(P37*1000))/$N$5/60, "")
</f>
        <v/>
      </c>
      <c r="O37" s="54">
        <f>IFERROR((((1-#REF!)*P37)/$O$5/60), "")</f>
        <v/>
      </c>
      <c r="P37" s="12" t="n">
        <v>98</v>
      </c>
      <c r="Q37" s="10" t="inlineStr">
        <is>
          <t>gutenberg</t>
        </is>
      </c>
      <c r="R37" s="28" t="inlineStr">
        <is>
          <t xml:space="preserve"> </t>
        </is>
      </c>
      <c r="S37" s="10" t="n"/>
      <c r="T37" s="10" t="n"/>
      <c r="U37" s="10" t="n"/>
      <c r="V37" s="10" t="n"/>
    </row>
    <row r="38">
      <c r="A38" s="0" t="inlineStr">
        <is>
          <t>god and state</t>
        </is>
      </c>
      <c r="B38" s="10" t="inlineStr">
        <is>
          <t>Bakunin</t>
        </is>
      </c>
      <c r="C38" s="29" t="n">
        <v>1882</v>
      </c>
      <c r="D38" s="50" t="n"/>
      <c r="E38" s="50" t="n"/>
      <c r="F38" s="50" t="n">
        <v>4</v>
      </c>
      <c r="G38" s="50" t="n"/>
      <c r="H38" s="50" t="n"/>
      <c r="I38" s="50" t="n"/>
      <c r="J38" s="50" t="n"/>
      <c r="K38" s="50" t="n">
        <v>107</v>
      </c>
      <c r="L38" s="15" t="n"/>
      <c r="M38" s="16">
        <f>F38/K38</f>
        <v/>
      </c>
      <c r="N38" s="54">
        <f>IFERROR(((1-#REF!)*(P38*1000))/$N$5/60, "")
</f>
        <v/>
      </c>
      <c r="O38" s="54">
        <f>IFERROR((((1-#REF!)*P38)/$O$5/60), "")</f>
        <v/>
      </c>
      <c r="P38" s="51" t="n">
        <v>25</v>
      </c>
      <c r="Q38" s="10" t="inlineStr">
        <is>
          <t>gutenberg</t>
        </is>
      </c>
      <c r="R38" s="28" t="inlineStr">
        <is>
          <t xml:space="preserve"> </t>
        </is>
      </c>
      <c r="S38" s="10" t="n"/>
      <c r="T38" s="10" t="n"/>
      <c r="U38" s="10" t="n"/>
      <c r="V38" s="10" t="n"/>
    </row>
    <row r="39"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2" t="n"/>
      <c r="N39" s="53" t="n"/>
      <c r="O39" s="53" t="n"/>
      <c r="Q39" s="10" t="n"/>
      <c r="R39" s="28" t="inlineStr">
        <is>
          <t xml:space="preserve"> </t>
        </is>
      </c>
      <c r="S39" s="10" t="n"/>
      <c r="T39" s="10" t="n"/>
      <c r="U39" s="10" t="n"/>
      <c r="V39" s="10" t="n"/>
    </row>
    <row r="40">
      <c r="A40" s="22" t="inlineStr">
        <is>
          <t>too look at/find?</t>
        </is>
      </c>
      <c r="B40" s="10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6" t="n"/>
      <c r="N40" s="54" t="n"/>
      <c r="O40" s="54" t="n"/>
      <c r="P40" s="10" t="n"/>
      <c r="Q40" s="10" t="n"/>
      <c r="R40" s="28" t="inlineStr">
        <is>
          <t xml:space="preserve"> </t>
        </is>
      </c>
      <c r="S40" s="10" t="n"/>
      <c r="T40" s="10" t="n"/>
      <c r="U40" s="10" t="n"/>
      <c r="V40" s="10" t="n"/>
    </row>
    <row r="41">
      <c r="A41" s="0" t="inlineStr">
        <is>
          <t>jews+bolsheviks</t>
        </is>
      </c>
      <c r="B41" s="10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6" t="n"/>
      <c r="N41" s="54" t="n"/>
      <c r="O41" s="54" t="n"/>
      <c r="P41" s="10" t="n"/>
      <c r="Q41" s="10" t="n"/>
      <c r="R41" s="28" t="inlineStr">
        <is>
          <t xml:space="preserve"> </t>
        </is>
      </c>
      <c r="S41" s="10" t="n"/>
      <c r="T41" s="10" t="n"/>
      <c r="U41" s="10" t="n"/>
      <c r="V41" s="10" t="n"/>
    </row>
    <row r="42">
      <c r="A42" s="32" t="inlineStr">
        <is>
          <t>Epub three capitals trip to red russia shulgin</t>
        </is>
      </c>
      <c r="B42" s="10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6" t="n"/>
      <c r="N42" s="54" t="n"/>
      <c r="O42" s="54" t="n"/>
      <c r="P42" s="10" t="n"/>
      <c r="Q42" s="10" t="n"/>
      <c r="R42" s="28" t="inlineStr">
        <is>
          <t xml:space="preserve"> </t>
        </is>
      </c>
      <c r="S42" s="10" t="n"/>
      <c r="T42" s="10" t="n"/>
      <c r="U42" s="10" t="n"/>
      <c r="V42" s="10" t="n"/>
    </row>
    <row r="43">
      <c r="A43" s="32" t="inlineStr">
        <is>
          <t>Epub Medicare for all bill</t>
        </is>
      </c>
      <c r="B43" s="10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6" t="n"/>
      <c r="N43" s="54" t="n"/>
      <c r="O43" s="54" t="n"/>
      <c r="P43" s="10" t="n"/>
      <c r="Q43" s="10" t="n"/>
      <c r="R43" s="28" t="inlineStr">
        <is>
          <t xml:space="preserve"> </t>
        </is>
      </c>
      <c r="S43" s="10" t="n"/>
      <c r="T43" s="10" t="n"/>
      <c r="U43" s="10" t="n"/>
      <c r="V43" s="10" t="n"/>
    </row>
    <row r="44">
      <c r="A44" s="32" t="inlineStr">
        <is>
          <t>Epub beyer pr voting Bill</t>
        </is>
      </c>
      <c r="B44" s="2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6" t="n"/>
      <c r="N44" s="57" t="n"/>
      <c r="O44" s="57" t="n"/>
      <c r="P44" s="25" t="n"/>
      <c r="Q44" s="10" t="n"/>
      <c r="R44" s="28" t="inlineStr">
        <is>
          <t xml:space="preserve"> </t>
        </is>
      </c>
      <c r="S44" s="10" t="n"/>
      <c r="T44" s="10" t="n"/>
      <c r="U44" s="10" t="n"/>
      <c r="V44" s="10" t="n"/>
    </row>
    <row r="45">
      <c r="A45" s="32" t="inlineStr">
        <is>
          <t>The Secret Dossier: My memoirs of Russia’s political underworld</t>
        </is>
      </c>
      <c r="B45" s="2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6" t="n"/>
      <c r="N45" s="57" t="n"/>
      <c r="O45" s="57" t="n"/>
      <c r="P45" s="25" t="n"/>
      <c r="Q45" s="10" t="n"/>
      <c r="R45" s="28" t="inlineStr">
        <is>
          <t xml:space="preserve"> </t>
        </is>
      </c>
      <c r="S45" s="10" t="n"/>
      <c r="T45" s="10" t="n"/>
      <c r="U45" s="10" t="n"/>
      <c r="V45" s="10" t="n"/>
    </row>
    <row r="46">
      <c r="A46" s="25" t="n"/>
      <c r="B46" s="25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50" t="n"/>
      <c r="L46" s="50" t="n"/>
      <c r="M46" s="52" t="n"/>
      <c r="N46" s="57" t="n"/>
      <c r="O46" s="57" t="n"/>
      <c r="Q46" s="10" t="n"/>
      <c r="R46" s="28" t="inlineStr">
        <is>
          <t xml:space="preserve"> </t>
        </is>
      </c>
      <c r="S46" s="10" t="n"/>
      <c r="T46" s="10" t="n"/>
      <c r="U46" s="10" t="n"/>
      <c r="V46" s="10" t="n"/>
    </row>
    <row r="47">
      <c r="C47" s="50" t="n"/>
      <c r="D47" s="50" t="n"/>
      <c r="E47" s="50" t="n"/>
      <c r="F47" s="50" t="n"/>
      <c r="G47" s="50" t="n"/>
      <c r="H47" s="50" t="n"/>
      <c r="I47" s="50" t="n"/>
      <c r="J47" s="50" t="n"/>
      <c r="K47" s="50" t="n"/>
      <c r="L47" s="50" t="n"/>
      <c r="M47" s="52" t="n"/>
      <c r="N47" s="53" t="n"/>
      <c r="O47" s="53" t="n"/>
      <c r="Q47" s="10" t="n"/>
      <c r="R47" s="28" t="inlineStr">
        <is>
          <t xml:space="preserve"> </t>
        </is>
      </c>
      <c r="S47" s="10" t="n"/>
      <c r="T47" s="10" t="n"/>
      <c r="U47" s="10" t="n"/>
      <c r="V47" s="10" t="n"/>
    </row>
    <row r="48"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8" t="n"/>
      <c r="M48" s="59" t="n"/>
      <c r="N48" s="53" t="n"/>
      <c r="O48" s="53" t="n"/>
      <c r="P48" s="51" t="n"/>
      <c r="Q48" s="10" t="n"/>
      <c r="R48" s="28" t="inlineStr">
        <is>
          <t xml:space="preserve"> </t>
        </is>
      </c>
      <c r="S48" s="10" t="n"/>
      <c r="T48" s="10" t="n"/>
      <c r="U48" s="10" t="n"/>
      <c r="V48" s="10" t="n"/>
    </row>
    <row r="49"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2" t="n"/>
      <c r="N49" s="53" t="n"/>
      <c r="O49" s="53" t="n"/>
      <c r="Q49" s="10" t="n"/>
      <c r="R49" s="28" t="inlineStr">
        <is>
          <t xml:space="preserve"> </t>
        </is>
      </c>
      <c r="S49" s="10" t="n"/>
      <c r="T49" s="10" t="n"/>
      <c r="U49" s="10" t="n"/>
      <c r="V49" s="10" t="n"/>
    </row>
    <row r="50"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2" t="n"/>
      <c r="N50" s="53" t="n"/>
      <c r="O50" s="53" t="n"/>
      <c r="Q50" s="10" t="n"/>
      <c r="R50" s="10" t="n"/>
      <c r="S50" s="10" t="n"/>
      <c r="T50" s="10" t="n"/>
      <c r="U50" s="10" t="n"/>
      <c r="V50" s="10" t="n"/>
    </row>
    <row r="51">
      <c r="A51" s="10" t="n"/>
      <c r="B51" s="10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6" t="n"/>
      <c r="N51" s="54" t="n"/>
      <c r="O51" s="54" t="n"/>
      <c r="P51" s="10" t="n"/>
      <c r="Q51" s="10" t="n"/>
      <c r="R51" s="10" t="n"/>
      <c r="S51" s="10" t="n"/>
      <c r="T51" s="10" t="n"/>
      <c r="U51" s="10" t="n"/>
      <c r="V51" s="10" t="n"/>
    </row>
    <row r="52">
      <c r="A52" s="10" t="n"/>
      <c r="B52" s="10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6" t="n"/>
      <c r="N52" s="54" t="n"/>
      <c r="O52" s="54" t="n"/>
      <c r="P52" s="10" t="n"/>
      <c r="Q52" s="10" t="n"/>
      <c r="R52" s="10" t="n"/>
      <c r="S52" s="10" t="n"/>
      <c r="T52" s="10" t="n"/>
      <c r="U52" s="10" t="n"/>
      <c r="V52" s="10" t="n"/>
    </row>
    <row r="53">
      <c r="A53" s="10" t="n"/>
      <c r="B53" s="10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6" t="n"/>
      <c r="N53" s="54" t="n"/>
      <c r="O53" s="54" t="n"/>
      <c r="P53" s="10" t="n"/>
      <c r="Q53" s="10" t="n"/>
      <c r="R53" s="10" t="n"/>
      <c r="S53" s="10" t="n"/>
      <c r="T53" s="10" t="n"/>
      <c r="U53" s="10" t="n"/>
      <c r="V53" s="10" t="n"/>
    </row>
    <row r="54">
      <c r="A54" s="10" t="n"/>
      <c r="B54" s="10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6" t="n"/>
      <c r="N54" s="54" t="n"/>
      <c r="O54" s="54" t="n"/>
      <c r="P54" s="10" t="n"/>
      <c r="Q54" s="10" t="n"/>
      <c r="R54" s="10" t="n"/>
      <c r="S54" s="10" t="n"/>
      <c r="T54" s="10" t="n"/>
      <c r="U54" s="10" t="n"/>
      <c r="V54" s="10" t="n"/>
    </row>
    <row r="55">
      <c r="A55" s="10" t="n"/>
      <c r="B55" s="10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6" t="n"/>
      <c r="N55" s="54" t="n"/>
      <c r="O55" s="54" t="n"/>
      <c r="P55" s="10" t="n"/>
      <c r="Q55" s="10" t="n"/>
      <c r="R55" s="10" t="n"/>
      <c r="S55" s="10" t="n"/>
      <c r="T55" s="10" t="n"/>
      <c r="U55" s="10" t="n"/>
      <c r="V55" s="10" t="n"/>
    </row>
    <row r="56">
      <c r="A56" s="10" t="n"/>
      <c r="B56" s="10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6" t="n"/>
      <c r="N56" s="54" t="n"/>
      <c r="O56" s="54" t="n"/>
      <c r="P56" s="10" t="n"/>
      <c r="Q56" s="10" t="n"/>
      <c r="R56" s="10" t="n"/>
      <c r="S56" s="10" t="n"/>
      <c r="T56" s="10" t="n"/>
      <c r="U56" s="10" t="n"/>
      <c r="V56" s="10" t="n"/>
    </row>
    <row r="57">
      <c r="A57" s="10" t="n"/>
      <c r="B57" s="10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6" t="n"/>
      <c r="N57" s="54" t="n"/>
      <c r="O57" s="54" t="n"/>
      <c r="P57" s="10" t="n"/>
      <c r="Q57" s="10" t="n"/>
      <c r="R57" s="10" t="n"/>
      <c r="S57" s="10" t="n"/>
      <c r="T57" s="10" t="n"/>
      <c r="U57" s="10" t="n"/>
      <c r="V57" s="10" t="n"/>
    </row>
    <row r="58">
      <c r="A58" s="10" t="n"/>
      <c r="B58" s="10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6" t="n"/>
      <c r="N58" s="54" t="n"/>
      <c r="O58" s="54" t="n"/>
      <c r="P58" s="10" t="n"/>
      <c r="Q58" s="10" t="n"/>
      <c r="R58" s="10" t="n"/>
      <c r="S58" s="10" t="n"/>
      <c r="T58" s="10" t="n"/>
      <c r="U58" s="10" t="n"/>
      <c r="V58" s="10" t="n"/>
    </row>
    <row r="59">
      <c r="A59" s="10" t="n"/>
      <c r="B59" s="10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6" t="n"/>
      <c r="N59" s="54" t="n"/>
      <c r="O59" s="54" t="n"/>
      <c r="P59" s="10" t="n"/>
      <c r="Q59" s="10" t="n"/>
      <c r="R59" s="10" t="n"/>
      <c r="S59" s="10" t="n"/>
      <c r="T59" s="10" t="n"/>
      <c r="U59" s="10" t="n"/>
      <c r="V59" s="10" t="n"/>
    </row>
    <row r="60">
      <c r="A60" s="10" t="n"/>
      <c r="B60" s="10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6" t="n"/>
      <c r="N60" s="54" t="n"/>
      <c r="O60" s="54" t="n"/>
      <c r="P60" s="10" t="n"/>
      <c r="Q60" s="10" t="n"/>
      <c r="R60" s="10" t="n"/>
    </row>
    <row r="61">
      <c r="A61" s="10" t="n"/>
      <c r="B61" s="10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6" t="n"/>
      <c r="N61" s="54" t="n"/>
      <c r="O61" s="54" t="n"/>
      <c r="P61" s="10" t="n"/>
      <c r="Q61" s="10" t="n"/>
      <c r="R61" s="10" t="n"/>
    </row>
    <row r="62">
      <c r="A62" s="10" t="n"/>
      <c r="B62" s="10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6" t="n"/>
      <c r="N62" s="54" t="n"/>
      <c r="O62" s="54" t="n"/>
      <c r="P62" s="10" t="n"/>
      <c r="Q62" s="10" t="n"/>
      <c r="R62" s="10" t="n"/>
    </row>
    <row r="63">
      <c r="A63" s="10" t="n"/>
      <c r="B63" s="10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6" t="n"/>
      <c r="N63" s="54" t="n"/>
      <c r="O63" s="54" t="n"/>
      <c r="P63" s="10" t="n"/>
      <c r="Q63" s="10" t="n"/>
      <c r="R63" s="10" t="n"/>
    </row>
    <row r="64">
      <c r="A64" s="10" t="n"/>
      <c r="B64" s="10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6" t="n"/>
      <c r="N64" s="54" t="n"/>
      <c r="O64" s="54" t="n"/>
      <c r="P64" s="10" t="n"/>
      <c r="Q64" s="10" t="n"/>
      <c r="R64" s="10" t="n"/>
    </row>
    <row r="65">
      <c r="A65" s="10" t="n"/>
      <c r="B65" s="10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6" t="n"/>
      <c r="N65" s="54" t="n"/>
      <c r="O65" s="54" t="n"/>
      <c r="P65" s="10" t="n"/>
      <c r="Q65" s="10" t="n"/>
      <c r="R65" s="10" t="n"/>
    </row>
    <row r="66">
      <c r="A66" s="10" t="n"/>
      <c r="B66" s="10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6" t="n"/>
      <c r="N66" s="54" t="n"/>
      <c r="O66" s="54" t="n"/>
      <c r="P66" s="10" t="n"/>
      <c r="Q66" s="10" t="n"/>
      <c r="R66" s="10" t="n"/>
    </row>
  </sheetData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I13" r:id="rId3"/>
    <hyperlink xmlns:r="http://schemas.openxmlformats.org/officeDocument/2006/relationships" ref="J13" r:id="rId4"/>
    <hyperlink xmlns:r="http://schemas.openxmlformats.org/officeDocument/2006/relationships" ref="Q13" r:id="rId5"/>
    <hyperlink xmlns:r="http://schemas.openxmlformats.org/officeDocument/2006/relationships" ref="I14" r:id="rId6"/>
    <hyperlink xmlns:r="http://schemas.openxmlformats.org/officeDocument/2006/relationships" ref="J14" r:id="rId7"/>
    <hyperlink xmlns:r="http://schemas.openxmlformats.org/officeDocument/2006/relationships" ref="Q14" r:id="rId8"/>
    <hyperlink xmlns:r="http://schemas.openxmlformats.org/officeDocument/2006/relationships" ref="I16" r:id="rId9"/>
    <hyperlink xmlns:r="http://schemas.openxmlformats.org/officeDocument/2006/relationships" ref="J16" r:id="rId10"/>
    <hyperlink xmlns:r="http://schemas.openxmlformats.org/officeDocument/2006/relationships" ref="Q16" r:id="rId11"/>
    <hyperlink xmlns:r="http://schemas.openxmlformats.org/officeDocument/2006/relationships" ref="I17" r:id="rId12"/>
    <hyperlink xmlns:r="http://schemas.openxmlformats.org/officeDocument/2006/relationships" ref="J17" r:id="rId13"/>
    <hyperlink xmlns:r="http://schemas.openxmlformats.org/officeDocument/2006/relationships" ref="Q17" r:id="rId14"/>
    <hyperlink xmlns:r="http://schemas.openxmlformats.org/officeDocument/2006/relationships" ref="J18" r:id="rId15"/>
    <hyperlink xmlns:r="http://schemas.openxmlformats.org/officeDocument/2006/relationships" ref="I19" r:id="rId16"/>
    <hyperlink xmlns:r="http://schemas.openxmlformats.org/officeDocument/2006/relationships" ref="J19" r:id="rId17"/>
    <hyperlink xmlns:r="http://schemas.openxmlformats.org/officeDocument/2006/relationships" ref="J21" r:id="rId18"/>
    <hyperlink xmlns:r="http://schemas.openxmlformats.org/officeDocument/2006/relationships" ref="Q21" r:id="rId19"/>
    <hyperlink xmlns:r="http://schemas.openxmlformats.org/officeDocument/2006/relationships" ref="J22" r:id="rId20"/>
    <hyperlink xmlns:r="http://schemas.openxmlformats.org/officeDocument/2006/relationships" ref="Q22" r:id="rId21"/>
    <hyperlink xmlns:r="http://schemas.openxmlformats.org/officeDocument/2006/relationships" ref="Q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Q26" r:id="rId25"/>
    <hyperlink xmlns:r="http://schemas.openxmlformats.org/officeDocument/2006/relationships" ref="J28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J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33"/>
  <sheetViews>
    <sheetView workbookViewId="0">
      <selection activeCell="A1" sqref="A1"/>
    </sheetView>
  </sheetViews>
  <sheetFormatPr baseColWidth="8" defaultColWidth="12.63" defaultRowHeight="15.75" customHeight="1"/>
  <cols>
    <col width="16.75" customWidth="1" style="41" min="1" max="1"/>
    <col width="14.25" customWidth="1" style="41" min="2" max="2"/>
    <col width="5.5" customWidth="1" style="41" min="3" max="3"/>
    <col width="3" customWidth="1" style="41" min="4" max="4"/>
    <col width="11.88" customWidth="1" style="41" min="5" max="5"/>
    <col width="8.880000000000001" customWidth="1" style="41" min="6" max="6"/>
  </cols>
  <sheetData>
    <row r="1">
      <c r="G1" s="28" t="inlineStr">
        <is>
          <t xml:space="preserve"> </t>
        </is>
      </c>
    </row>
    <row r="2">
      <c r="G2" s="28" t="inlineStr">
        <is>
          <t xml:space="preserve"> </t>
        </is>
      </c>
    </row>
    <row r="3">
      <c r="D3" s="28" t="n"/>
      <c r="E3" s="11" t="inlineStr">
        <is>
          <t xml:space="preserve">thousands of </t>
        </is>
      </c>
      <c r="G3" s="28" t="inlineStr">
        <is>
          <t xml:space="preserve"> </t>
        </is>
      </c>
    </row>
    <row r="4">
      <c r="D4" s="28" t="n"/>
      <c r="E4" s="11" t="inlineStr">
        <is>
          <t>words read</t>
        </is>
      </c>
      <c r="G4" s="28" t="inlineStr">
        <is>
          <t xml:space="preserve"> </t>
        </is>
      </c>
    </row>
    <row r="5">
      <c r="C5" s="8" t="inlineStr">
        <is>
          <t>year</t>
        </is>
      </c>
      <c r="E5" s="13">
        <f>sum(E7:E59)</f>
        <v/>
      </c>
      <c r="G5" s="28" t="inlineStr">
        <is>
          <t xml:space="preserve"> </t>
        </is>
      </c>
    </row>
    <row r="6">
      <c r="A6" s="11" t="inlineStr">
        <is>
          <t>book</t>
        </is>
      </c>
      <c r="B6" s="11" t="inlineStr">
        <is>
          <t>author</t>
        </is>
      </c>
      <c r="C6" s="8" t="inlineStr">
        <is>
          <t>wrote</t>
        </is>
      </c>
      <c r="D6" s="11" t="n"/>
      <c r="E6" s="11" t="inlineStr">
        <is>
          <t>words?</t>
        </is>
      </c>
      <c r="F6" s="11" t="inlineStr">
        <is>
          <t>url</t>
        </is>
      </c>
      <c r="G6" s="28" t="inlineStr">
        <is>
          <t xml:space="preserve"> </t>
        </is>
      </c>
      <c r="H6" s="11" t="n"/>
      <c r="I6" s="11" t="n"/>
      <c r="J6" s="11" t="n"/>
    </row>
    <row r="7">
      <c r="A7" s="28" t="inlineStr">
        <is>
          <t>pan europe</t>
        </is>
      </c>
      <c r="B7" s="28" t="inlineStr">
        <is>
          <t>kalergi</t>
        </is>
      </c>
      <c r="C7" s="28" t="n">
        <v>1923</v>
      </c>
      <c r="D7" s="13" t="n"/>
      <c r="E7" s="13" t="n">
        <v>40</v>
      </c>
      <c r="F7" s="28" t="inlineStr">
        <is>
          <t>?</t>
        </is>
      </c>
      <c r="G7" s="28" t="inlineStr">
        <is>
          <t xml:space="preserve"> </t>
        </is>
      </c>
    </row>
    <row r="8">
      <c r="A8" s="28" t="inlineStr">
        <is>
          <t>socialism and war</t>
        </is>
      </c>
      <c r="B8" s="28" t="inlineStr">
        <is>
          <t>lenin</t>
        </is>
      </c>
      <c r="C8" s="28" t="n">
        <v>1915</v>
      </c>
      <c r="D8" s="28" t="n"/>
      <c r="E8" s="28" t="n">
        <v>10</v>
      </c>
      <c r="F8" s="18" t="inlineStr">
        <is>
          <t>https://www.bannedthought.net/USSR/Lenin/Lenin-SocialismAndWar-Moscow-1967-OCR-sm.pdf</t>
        </is>
      </c>
      <c r="G8" s="28" t="inlineStr">
        <is>
          <t xml:space="preserve"> </t>
        </is>
      </c>
    </row>
    <row r="9">
      <c r="A9" s="28" t="inlineStr">
        <is>
          <t>Anarchy</t>
        </is>
      </c>
      <c r="B9" s="19" t="inlineStr">
        <is>
          <t>Errico Malatesta</t>
        </is>
      </c>
      <c r="C9" s="28" t="n">
        <v>1891</v>
      </c>
      <c r="D9" s="13" t="n"/>
      <c r="E9" s="13" t="n">
        <v>10</v>
      </c>
      <c r="F9" s="18" t="inlineStr">
        <is>
          <t>https://theanarchistlibrary.org/library/errico-malatesta-anarchy</t>
        </is>
      </c>
      <c r="G9" s="28" t="inlineStr">
        <is>
          <t xml:space="preserve"> </t>
        </is>
      </c>
    </row>
    <row r="10">
      <c r="A10" s="28" t="inlineStr">
        <is>
          <t>communist manifesto</t>
        </is>
      </c>
      <c r="B10" s="28" t="inlineStr">
        <is>
          <t>marx</t>
        </is>
      </c>
      <c r="C10" s="28" t="n">
        <v>1847</v>
      </c>
      <c r="D10" s="28" t="n"/>
      <c r="E10" s="28" t="n">
        <v>10</v>
      </c>
      <c r="F10" s="18" t="inlineStr">
        <is>
          <t>https://www.marxists.org/archive/marx/works/download/pdf/Manifesto.pdf</t>
        </is>
      </c>
      <c r="G10" s="28" t="inlineStr">
        <is>
          <t xml:space="preserve"> </t>
        </is>
      </c>
    </row>
    <row r="11">
      <c r="A11" s="28" t="inlineStr">
        <is>
          <t>cheka</t>
        </is>
      </c>
      <c r="B11" s="28" t="inlineStr">
        <is>
          <t>leggett</t>
        </is>
      </c>
      <c r="C11" s="28" t="n">
        <v>1981</v>
      </c>
      <c r="D11" s="28" t="n"/>
      <c r="E11" s="28" t="n">
        <v>133</v>
      </c>
      <c r="F11" s="18" t="inlineStr">
        <is>
          <t>https://archive.org/details/chekaleninspolit0000legg</t>
        </is>
      </c>
      <c r="G11" s="28" t="inlineStr">
        <is>
          <t xml:space="preserve"> </t>
        </is>
      </c>
    </row>
    <row r="12">
      <c r="A12" s="28" t="inlineStr">
        <is>
          <t>rothschilds</t>
        </is>
      </c>
      <c r="B12" s="28" t="inlineStr">
        <is>
          <t>reeves</t>
        </is>
      </c>
      <c r="C12" s="28" t="n">
        <v>1887</v>
      </c>
      <c r="D12" s="28" t="n"/>
      <c r="E12" s="28" t="n">
        <v>100</v>
      </c>
      <c r="F12" s="26" t="inlineStr">
        <is>
          <t>https://archive.org/details/rothschildsfinan00reevuoft</t>
        </is>
      </c>
      <c r="G12" s="28" t="inlineStr">
        <is>
          <t xml:space="preserve"> </t>
        </is>
      </c>
    </row>
    <row r="13">
      <c r="A13" s="10" t="inlineStr">
        <is>
          <t>what is property</t>
        </is>
      </c>
      <c r="B13" s="10" t="inlineStr">
        <is>
          <t>proudhon</t>
        </is>
      </c>
      <c r="C13" s="28" t="n">
        <v>1840</v>
      </c>
      <c r="D13" s="10" t="n"/>
      <c r="E13" s="10" t="n">
        <v>150</v>
      </c>
      <c r="F13" s="14" t="inlineStr">
        <is>
          <t>https://www.gutenberg.org/ebooks/360</t>
        </is>
      </c>
      <c r="G13" s="28" t="inlineStr">
        <is>
          <t xml:space="preserve"> </t>
        </is>
      </c>
    </row>
    <row r="14">
      <c r="A14" s="10" t="inlineStr">
        <is>
          <t>cheka</t>
        </is>
      </c>
      <c r="B14" s="10" t="inlineStr">
        <is>
          <t>volodarsky</t>
        </is>
      </c>
      <c r="C14" s="29" t="n">
        <v>2023</v>
      </c>
      <c r="E14" s="10" t="n">
        <v>150</v>
      </c>
      <c r="F14" s="10" t="n"/>
      <c r="G14" s="28" t="inlineStr">
        <is>
          <t xml:space="preserve"> </t>
        </is>
      </c>
    </row>
    <row r="15">
      <c r="D15" s="30" t="n"/>
      <c r="E15" s="30" t="n"/>
      <c r="F15" s="31" t="n"/>
      <c r="G15" s="28" t="inlineStr">
        <is>
          <t xml:space="preserve"> </t>
        </is>
      </c>
    </row>
    <row r="16">
      <c r="D16" s="30" t="n"/>
      <c r="E16" s="30" t="n"/>
      <c r="F16" s="31" t="n"/>
      <c r="H16" s="30" t="n"/>
    </row>
    <row r="17">
      <c r="D17" s="32" t="n"/>
      <c r="E17" s="32" t="n"/>
      <c r="F17" s="33" t="n"/>
      <c r="H17" s="34" t="n"/>
    </row>
    <row r="18">
      <c r="D18" s="32" t="n"/>
      <c r="E18" s="32" t="n"/>
      <c r="F18" s="33" t="n"/>
      <c r="H18" s="32" t="n"/>
    </row>
    <row r="19">
      <c r="D19" s="35" t="n"/>
      <c r="E19" s="35" t="n"/>
      <c r="F19" s="36" t="n"/>
      <c r="H19" s="35" t="n"/>
    </row>
    <row r="20">
      <c r="D20" s="32" t="n"/>
      <c r="E20" s="32" t="n"/>
      <c r="F20" s="33" t="n"/>
      <c r="H20" s="34" t="n"/>
    </row>
    <row r="21">
      <c r="D21" s="32" t="n"/>
      <c r="E21" s="32" t="n"/>
      <c r="F21" s="33" t="n"/>
      <c r="H21" s="32" t="n"/>
    </row>
    <row r="22">
      <c r="F22" s="37" t="n"/>
    </row>
    <row r="23">
      <c r="F23" s="37" t="n"/>
      <c r="G23" s="28" t="inlineStr">
        <is>
          <t xml:space="preserve"> </t>
        </is>
      </c>
    </row>
    <row r="24">
      <c r="F24" s="37" t="n"/>
      <c r="G24" s="28" t="inlineStr">
        <is>
          <t xml:space="preserve"> </t>
        </is>
      </c>
    </row>
    <row r="25">
      <c r="G25" s="28" t="inlineStr">
        <is>
          <t xml:space="preserve"> </t>
        </is>
      </c>
    </row>
    <row r="26">
      <c r="G26" s="28" t="inlineStr">
        <is>
          <t xml:space="preserve"> </t>
        </is>
      </c>
      <c r="H26" s="30" t="n"/>
    </row>
    <row r="27">
      <c r="G27" s="28" t="inlineStr">
        <is>
          <t xml:space="preserve"> </t>
        </is>
      </c>
      <c r="H27" s="34" t="n"/>
    </row>
    <row r="28">
      <c r="G28" s="28" t="inlineStr">
        <is>
          <t xml:space="preserve"> </t>
        </is>
      </c>
    </row>
    <row r="29">
      <c r="G29" s="28" t="inlineStr">
        <is>
          <t xml:space="preserve"> </t>
        </is>
      </c>
    </row>
    <row r="30">
      <c r="G30" s="28" t="inlineStr">
        <is>
          <t xml:space="preserve"> </t>
        </is>
      </c>
    </row>
    <row r="31">
      <c r="G31" s="28" t="inlineStr">
        <is>
          <t xml:space="preserve"> </t>
        </is>
      </c>
    </row>
    <row r="32">
      <c r="G32" s="28" t="inlineStr">
        <is>
          <t xml:space="preserve"> </t>
        </is>
      </c>
    </row>
    <row r="33">
      <c r="G33" s="28" t="inlineStr">
        <is>
          <t xml:space="preserve"> </t>
        </is>
      </c>
    </row>
  </sheetData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2" r:id="rId5"/>
    <hyperlink xmlns:r="http://schemas.openxmlformats.org/officeDocument/2006/relationships" ref="F13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2026-08-15T19:51:05Z</dcterms:created>
  <dcterms:modified xmlns:dcterms="http://purl.org/dc/terms/" xmlns:xsi="http://www.w3.org/2001/XMLSchema-instance" xsi:type="dcterms:W3CDTF">2026-08-15T19:51:17Z</dcterms:modified>
</cp:coreProperties>
</file>